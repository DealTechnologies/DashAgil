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8" codeName="{3D1A710C-6663-3D7B-7F91-EC182F24A4BC}"/>
  <workbookPr codeName="EstaPasta_de_trabalho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Rendimento\Burndown\"/>
    </mc:Choice>
  </mc:AlternateContent>
  <xr:revisionPtr revIDLastSave="0" documentId="13_ncr:1_{CE457DBA-7957-4BB0-999B-BC9269FF44F5}" xr6:coauthVersionLast="36" xr6:coauthVersionMax="36" xr10:uidLastSave="{00000000-0000-0000-0000-000000000000}"/>
  <bookViews>
    <workbookView xWindow="0" yWindow="0" windowWidth="19200" windowHeight="7440" tabRatio="900" xr2:uid="{00000000-000D-0000-FFFF-FFFF00000000}"/>
  </bookViews>
  <sheets>
    <sheet name="Spr15" sheetId="74" r:id="rId1"/>
    <sheet name="Spr9" sheetId="60" r:id="rId2"/>
    <sheet name="Spr5" sheetId="63" r:id="rId3"/>
    <sheet name="Spr2" sheetId="68" r:id="rId4"/>
  </sheets>
  <definedNames>
    <definedName name="_FilterDatabase_1">#REF!</definedName>
    <definedName name="_xlnm._FilterDatabase">#REF!</definedName>
    <definedName name="Print_Area_1">#REF!</definedName>
  </definedNames>
  <calcPr calcId="191029"/>
</workbook>
</file>

<file path=xl/calcChain.xml><?xml version="1.0" encoding="utf-8"?>
<calcChain xmlns="http://schemas.openxmlformats.org/spreadsheetml/2006/main">
  <c r="E13" i="74" l="1"/>
  <c r="E12" i="74"/>
  <c r="E11" i="74" l="1"/>
  <c r="E10" i="74" l="1"/>
  <c r="C10" i="74"/>
  <c r="K26" i="74" l="1"/>
  <c r="E7" i="74" l="1"/>
  <c r="E8" i="74"/>
  <c r="E9" i="74"/>
  <c r="E6" i="74"/>
  <c r="E5" i="74" l="1"/>
  <c r="E4" i="74"/>
  <c r="E3" i="74" l="1"/>
  <c r="C15" i="74" l="1"/>
  <c r="C3" i="74"/>
  <c r="C4" i="74" s="1"/>
  <c r="C5" i="74" s="1"/>
  <c r="C6" i="74" s="1"/>
  <c r="C7" i="74" s="1"/>
  <c r="C8" i="74" s="1"/>
  <c r="C9" i="74" s="1"/>
  <c r="C11" i="74" s="1"/>
  <c r="E2" i="74"/>
  <c r="C12" i="74" l="1"/>
  <c r="C13" i="74" s="1"/>
  <c r="E11" i="60" l="1"/>
  <c r="E12" i="60" l="1"/>
  <c r="E13" i="60"/>
  <c r="E10" i="60" l="1"/>
  <c r="E6" i="60" l="1"/>
  <c r="E7" i="60"/>
  <c r="E8" i="60"/>
  <c r="E9" i="60"/>
  <c r="E5" i="60" l="1"/>
  <c r="C15" i="63" l="1"/>
  <c r="E13" i="63"/>
  <c r="E12" i="63"/>
  <c r="E11" i="63"/>
  <c r="E10" i="63"/>
  <c r="L9" i="63"/>
  <c r="L14" i="63" s="1"/>
  <c r="E9" i="63"/>
  <c r="E8" i="63"/>
  <c r="E7" i="63"/>
  <c r="E6" i="63"/>
  <c r="E5" i="63"/>
  <c r="E4" i="63"/>
  <c r="E3" i="63"/>
  <c r="C3" i="63"/>
  <c r="C4" i="63" s="1"/>
  <c r="C5" i="63" s="1"/>
  <c r="C6" i="63" s="1"/>
  <c r="C7" i="63" s="1"/>
  <c r="C8" i="63" s="1"/>
  <c r="C9" i="63" s="1"/>
  <c r="C10" i="63" s="1"/>
  <c r="C11" i="63" s="1"/>
  <c r="C12" i="63" s="1"/>
  <c r="C13" i="63" s="1"/>
  <c r="E2" i="63"/>
  <c r="C15" i="68"/>
  <c r="I14" i="68"/>
  <c r="E13" i="68"/>
  <c r="E12" i="68"/>
  <c r="E11" i="68"/>
  <c r="E10" i="68"/>
  <c r="E9" i="68"/>
  <c r="I8" i="68"/>
  <c r="E8" i="68"/>
  <c r="E7" i="68"/>
  <c r="E6" i="68"/>
  <c r="E5" i="68"/>
  <c r="E4" i="68"/>
  <c r="E3" i="68"/>
  <c r="C3" i="68"/>
  <c r="C4" i="68" s="1"/>
  <c r="C5" i="68" s="1"/>
  <c r="C6" i="68" s="1"/>
  <c r="C7" i="68" s="1"/>
  <c r="C8" i="68" s="1"/>
  <c r="C9" i="68" s="1"/>
  <c r="C10" i="68" s="1"/>
  <c r="C11" i="68" s="1"/>
  <c r="C12" i="68" s="1"/>
  <c r="C13" i="68" s="1"/>
  <c r="E2" i="68"/>
  <c r="E4" i="60" l="1"/>
  <c r="E3" i="60" l="1"/>
  <c r="K13" i="60"/>
  <c r="C8" i="60"/>
  <c r="C7" i="60"/>
  <c r="C4" i="60"/>
  <c r="C5" i="60" s="1"/>
  <c r="C6" i="60" s="1"/>
  <c r="C3" i="60"/>
  <c r="C15" i="60"/>
  <c r="E2" i="60"/>
  <c r="C9" i="60" l="1"/>
  <c r="C10" i="60" s="1"/>
  <c r="C11" i="60" s="1"/>
  <c r="C12" i="60" s="1"/>
  <c r="C13" i="60" s="1"/>
</calcChain>
</file>

<file path=xl/sharedStrings.xml><?xml version="1.0" encoding="utf-8"?>
<sst xmlns="http://schemas.openxmlformats.org/spreadsheetml/2006/main" count="101" uniqueCount="32">
  <si>
    <t>Data</t>
  </si>
  <si>
    <t>Dia</t>
  </si>
  <si>
    <t>Velocidade Ideal</t>
  </si>
  <si>
    <t>Ponto Entregues</t>
  </si>
  <si>
    <t>Velocidade da Sprint</t>
  </si>
  <si>
    <t>Pontos Dia Ideal:</t>
  </si>
  <si>
    <t>Story Points</t>
  </si>
  <si>
    <t>ID</t>
  </si>
  <si>
    <t>Data Conclusão</t>
  </si>
  <si>
    <t>Status</t>
  </si>
  <si>
    <t>Data inclusão</t>
  </si>
  <si>
    <t>Concluída</t>
  </si>
  <si>
    <t>22/06 a 03/07</t>
  </si>
  <si>
    <t>Concluído</t>
  </si>
  <si>
    <t>10/08 a 21/08</t>
  </si>
  <si>
    <t>SPRINT 9</t>
  </si>
  <si>
    <t>87 PONTOS</t>
  </si>
  <si>
    <t>SPRINT 2</t>
  </si>
  <si>
    <t>11/05 a 22/05</t>
  </si>
  <si>
    <t>32 pontos</t>
  </si>
  <si>
    <t>Code Review</t>
  </si>
  <si>
    <t>52 pontos</t>
  </si>
  <si>
    <t>Incluído histórias:</t>
  </si>
  <si>
    <t>4790 fechado dia 27/05</t>
  </si>
  <si>
    <t>NÃO FINALIZADO NA SPRINT 2</t>
  </si>
  <si>
    <t>Total</t>
  </si>
  <si>
    <t>44 pontos</t>
  </si>
  <si>
    <t>SPRINT 5</t>
  </si>
  <si>
    <t>SPRINT 15</t>
  </si>
  <si>
    <t>05/10 a 16/10</t>
  </si>
  <si>
    <t>157 PONTOS</t>
  </si>
  <si>
    <t>170 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</si>
</sst>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[$-416]General"/>
    <numFmt numFmtId="166" formatCode="[$R$-416]&quot; &quot;#,##0.00;[Red]&quot;-&quot;[$R$-416]&quot; &quot;#,##0.00"/>
  </numFmts>
  <fonts count="21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rgb="FF000000"/>
      <name val="Calibri"/>
      <family val="2"/>
    </font>
    <font>
      <u/>
      <sz val="11"/>
      <color theme="10"/>
      <name val="Arial"/>
      <family val="2"/>
    </font>
    <font>
      <u/>
      <sz val="11"/>
      <color theme="11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  <font>
      <sz val="8"/>
      <color theme="1"/>
      <name val="Arial"/>
      <family val="2"/>
    </font>
    <font>
      <sz val="8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254061"/>
        <bgColor rgb="FF254061"/>
      </patternFill>
    </fill>
    <fill>
      <patternFill patternType="solid">
        <fgColor rgb="FFD9D9D9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0">
    <xf numFmtId="0" fontId="0" fillId="0" borderId="0"/>
    <xf numFmtId="165" fontId="5" fillId="0" borderId="0"/>
    <xf numFmtId="0" fontId="6" fillId="0" borderId="0">
      <alignment horizontal="center"/>
    </xf>
    <xf numFmtId="0" fontId="6" fillId="0" borderId="0">
      <alignment horizontal="center" textRotation="90"/>
    </xf>
    <xf numFmtId="165" fontId="5" fillId="0" borderId="0"/>
    <xf numFmtId="165" fontId="5" fillId="0" borderId="0"/>
    <xf numFmtId="0" fontId="7" fillId="0" borderId="0"/>
    <xf numFmtId="166" fontId="7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4" fillId="0" borderId="0"/>
  </cellStyleXfs>
  <cellXfs count="45">
    <xf numFmtId="0" fontId="0" fillId="0" borderId="0" xfId="0"/>
    <xf numFmtId="165" fontId="5" fillId="0" borderId="0" xfId="1"/>
    <xf numFmtId="164" fontId="5" fillId="0" borderId="0" xfId="1" applyNumberFormat="1"/>
    <xf numFmtId="165" fontId="8" fillId="0" borderId="1" xfId="1" applyFont="1" applyBorder="1"/>
    <xf numFmtId="165" fontId="12" fillId="2" borderId="1" xfId="1" applyFont="1" applyFill="1" applyBorder="1"/>
    <xf numFmtId="14" fontId="13" fillId="0" borderId="2" xfId="1" applyNumberFormat="1" applyFont="1" applyBorder="1"/>
    <xf numFmtId="165" fontId="13" fillId="0" borderId="1" xfId="1" applyFont="1" applyBorder="1"/>
    <xf numFmtId="165" fontId="13" fillId="4" borderId="1" xfId="1" applyFont="1" applyFill="1" applyBorder="1"/>
    <xf numFmtId="165" fontId="13" fillId="3" borderId="1" xfId="1" applyFont="1" applyFill="1" applyBorder="1"/>
    <xf numFmtId="165" fontId="14" fillId="2" borderId="1" xfId="1" applyFont="1" applyFill="1" applyBorder="1"/>
    <xf numFmtId="0" fontId="15" fillId="4" borderId="3" xfId="0" applyFont="1" applyFill="1" applyBorder="1"/>
    <xf numFmtId="165" fontId="15" fillId="4" borderId="3" xfId="0" applyNumberFormat="1" applyFont="1" applyFill="1" applyBorder="1"/>
    <xf numFmtId="14" fontId="13" fillId="5" borderId="2" xfId="1" applyNumberFormat="1" applyFont="1" applyFill="1" applyBorder="1"/>
    <xf numFmtId="165" fontId="13" fillId="5" borderId="1" xfId="1" applyFont="1" applyFill="1" applyBorder="1"/>
    <xf numFmtId="0" fontId="15" fillId="5" borderId="3" xfId="0" applyFont="1" applyFill="1" applyBorder="1"/>
    <xf numFmtId="165" fontId="13" fillId="6" borderId="1" xfId="1" applyFont="1" applyFill="1" applyBorder="1"/>
    <xf numFmtId="165" fontId="5" fillId="7" borderId="3" xfId="1" applyFill="1" applyBorder="1" applyAlignment="1">
      <alignment horizontal="center"/>
    </xf>
    <xf numFmtId="165" fontId="5" fillId="0" borderId="3" xfId="1" applyBorder="1" applyAlignment="1">
      <alignment horizontal="center"/>
    </xf>
    <xf numFmtId="165" fontId="5" fillId="0" borderId="3" xfId="1" applyBorder="1"/>
    <xf numFmtId="165" fontId="5" fillId="0" borderId="4" xfId="1" applyBorder="1" applyAlignment="1">
      <alignment horizontal="center"/>
    </xf>
    <xf numFmtId="165" fontId="13" fillId="0" borderId="1" xfId="1" applyFont="1" applyFill="1" applyBorder="1"/>
    <xf numFmtId="165" fontId="16" fillId="3" borderId="1" xfId="1" applyFont="1" applyFill="1" applyBorder="1"/>
    <xf numFmtId="0" fontId="3" fillId="8" borderId="3" xfId="0" applyFont="1" applyFill="1" applyBorder="1" applyAlignment="1">
      <alignment horizontal="center"/>
    </xf>
    <xf numFmtId="165" fontId="5" fillId="0" borderId="0" xfId="1" applyAlignment="1">
      <alignment horizontal="right"/>
    </xf>
    <xf numFmtId="0" fontId="3" fillId="0" borderId="3" xfId="0" applyFont="1" applyFill="1" applyBorder="1" applyAlignment="1">
      <alignment horizontal="center"/>
    </xf>
    <xf numFmtId="165" fontId="5" fillId="0" borderId="3" xfId="1" applyFill="1" applyBorder="1" applyAlignment="1">
      <alignment horizontal="center"/>
    </xf>
    <xf numFmtId="14" fontId="13" fillId="9" borderId="3" xfId="1" applyNumberFormat="1" applyFont="1" applyFill="1" applyBorder="1" applyAlignment="1">
      <alignment horizontal="center"/>
    </xf>
    <xf numFmtId="165" fontId="5" fillId="10" borderId="3" xfId="1" applyFill="1" applyBorder="1" applyAlignment="1">
      <alignment horizontal="center"/>
    </xf>
    <xf numFmtId="14" fontId="13" fillId="0" borderId="3" xfId="1" applyNumberFormat="1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14" fontId="13" fillId="0" borderId="5" xfId="1" applyNumberFormat="1" applyFont="1" applyFill="1" applyBorder="1" applyAlignment="1">
      <alignment horizontal="center"/>
    </xf>
    <xf numFmtId="165" fontId="13" fillId="0" borderId="0" xfId="1" applyFont="1"/>
    <xf numFmtId="0" fontId="17" fillId="9" borderId="3" xfId="0" applyFont="1" applyFill="1" applyBorder="1" applyAlignment="1">
      <alignment horizontal="center"/>
    </xf>
    <xf numFmtId="165" fontId="5" fillId="11" borderId="3" xfId="1" applyFill="1" applyBorder="1" applyAlignment="1">
      <alignment horizontal="center"/>
    </xf>
    <xf numFmtId="14" fontId="18" fillId="9" borderId="3" xfId="1" applyNumberFormat="1" applyFont="1" applyFill="1" applyBorder="1" applyAlignment="1">
      <alignment horizontal="center"/>
    </xf>
    <xf numFmtId="165" fontId="5" fillId="12" borderId="3" xfId="1" applyFill="1" applyBorder="1" applyAlignment="1">
      <alignment horizontal="center"/>
    </xf>
    <xf numFmtId="165" fontId="18" fillId="0" borderId="0" xfId="1" applyFont="1"/>
    <xf numFmtId="165" fontId="5" fillId="0" borderId="3" xfId="1" applyBorder="1" applyAlignment="1"/>
    <xf numFmtId="0" fontId="1" fillId="8" borderId="3" xfId="0" applyFont="1" applyFill="1" applyBorder="1" applyAlignment="1">
      <alignment horizontal="center"/>
    </xf>
    <xf numFmtId="0" fontId="19" fillId="0" borderId="3" xfId="0" applyFont="1" applyBorder="1" applyAlignment="1">
      <alignment horizontal="center" wrapText="1"/>
    </xf>
    <xf numFmtId="14" fontId="13" fillId="0" borderId="2" xfId="1" applyNumberFormat="1" applyFont="1" applyFill="1" applyBorder="1"/>
    <xf numFmtId="165" fontId="20" fillId="0" borderId="0" xfId="1" applyFont="1"/>
    <xf numFmtId="0" fontId="19" fillId="0" borderId="3" xfId="0" applyFont="1" applyFill="1" applyBorder="1" applyAlignment="1">
      <alignment horizontal="center" wrapText="1"/>
    </xf>
    <xf numFmtId="0" fontId="19" fillId="12" borderId="3" xfId="0" applyFont="1" applyFill="1" applyBorder="1" applyAlignment="1">
      <alignment horizontal="center" wrapText="1"/>
    </xf>
    <xf numFmtId="165" fontId="8" fillId="0" borderId="1" xfId="1" applyFont="1" applyFill="1" applyBorder="1" applyAlignment="1">
      <alignment horizontal="left"/>
    </xf>
  </cellXfs>
  <cellStyles count="360">
    <cellStyle name="Excel Built-in Normal" xfId="1" xr:uid="{00000000-0005-0000-0000-000000000000}"/>
    <cellStyle name="Heading" xfId="2" xr:uid="{00000000-0005-0000-0000-000001000000}"/>
    <cellStyle name="Heading1" xfId="3" xr:uid="{00000000-0005-0000-0000-000002000000}"/>
    <cellStyle name="Hiperlink" xfId="8" builtinId="8" hidden="1"/>
    <cellStyle name="Hiperlink" xfId="10" builtinId="8" hidden="1"/>
    <cellStyle name="Hiperlink" xfId="12" builtinId="8" hidden="1"/>
    <cellStyle name="Hiperlink" xfId="14" builtinId="8" hidden="1"/>
    <cellStyle name="Hiperlink" xfId="16" builtinId="8" hidden="1"/>
    <cellStyle name="Hiperlink" xfId="18" builtinId="8" hidden="1"/>
    <cellStyle name="Hiperlink" xfId="20" builtinId="8" hidden="1"/>
    <cellStyle name="Hiperlink" xfId="22" builtinId="8" hidden="1"/>
    <cellStyle name="Hiperlink" xfId="24" builtinId="8" hidden="1"/>
    <cellStyle name="Hiperlink" xfId="26" builtinId="8" hidden="1"/>
    <cellStyle name="Hiperlink" xfId="28" builtinId="8" hidden="1"/>
    <cellStyle name="Hiperlink" xfId="30" builtinId="8" hidden="1"/>
    <cellStyle name="Hiperlink" xfId="32" builtinId="8" hidden="1"/>
    <cellStyle name="Hiperlink" xfId="34" builtinId="8" hidden="1"/>
    <cellStyle name="Hiperlink" xfId="36" builtinId="8" hidden="1"/>
    <cellStyle name="Hiperlink" xfId="38" builtinId="8" hidden="1"/>
    <cellStyle name="Hiperlink" xfId="40" builtinId="8" hidden="1"/>
    <cellStyle name="Hiperlink" xfId="42" builtinId="8" hidden="1"/>
    <cellStyle name="Hiperlink" xfId="44" builtinId="8" hidden="1"/>
    <cellStyle name="Hiperlink" xfId="46" builtinId="8" hidden="1"/>
    <cellStyle name="Hiperlink" xfId="48" builtinId="8" hidden="1"/>
    <cellStyle name="Hiperlink" xfId="50" builtinId="8" hidden="1"/>
    <cellStyle name="Hiperlink" xfId="52" builtinId="8" hidden="1"/>
    <cellStyle name="Hiperlink" xfId="54" builtinId="8" hidden="1"/>
    <cellStyle name="Hiperlink" xfId="56" builtinId="8" hidden="1"/>
    <cellStyle name="Hiperlink" xfId="58" builtinId="8" hidden="1"/>
    <cellStyle name="Hiperlink" xfId="60" builtinId="8" hidden="1"/>
    <cellStyle name="Hiperlink" xfId="62" builtinId="8" hidden="1"/>
    <cellStyle name="Hiperlink" xfId="64" builtinId="8" hidden="1"/>
    <cellStyle name="Hiperlink" xfId="66" builtinId="8" hidden="1"/>
    <cellStyle name="Hiperlink" xfId="68" builtinId="8" hidden="1"/>
    <cellStyle name="Hiperlink" xfId="70" builtinId="8" hidden="1"/>
    <cellStyle name="Hiperlink" xfId="72" builtinId="8" hidden="1"/>
    <cellStyle name="Hiperlink" xfId="74" builtinId="8" hidden="1"/>
    <cellStyle name="Hiperlink" xfId="76" builtinId="8" hidden="1"/>
    <cellStyle name="Hiperlink" xfId="78" builtinId="8" hidden="1"/>
    <cellStyle name="Hiperlink" xfId="80" builtinId="8" hidden="1"/>
    <cellStyle name="Hiperlink" xfId="82" builtinId="8" hidden="1"/>
    <cellStyle name="Hiperlink" xfId="84" builtinId="8" hidden="1"/>
    <cellStyle name="Hiperlink" xfId="86" builtinId="8" hidden="1"/>
    <cellStyle name="Hiperlink" xfId="88" builtinId="8" hidden="1"/>
    <cellStyle name="Hiperlink" xfId="90" builtinId="8" hidden="1"/>
    <cellStyle name="Hiperlink" xfId="92" builtinId="8" hidden="1"/>
    <cellStyle name="Hiperlink" xfId="94" builtinId="8" hidden="1"/>
    <cellStyle name="Hiperlink" xfId="96" builtinId="8" hidden="1"/>
    <cellStyle name="Hiperlink" xfId="98" builtinId="8" hidden="1"/>
    <cellStyle name="Hiperlink" xfId="100" builtinId="8" hidden="1"/>
    <cellStyle name="Hiperlink" xfId="102" builtinId="8" hidden="1"/>
    <cellStyle name="Hiperlink" xfId="104" builtinId="8" hidden="1"/>
    <cellStyle name="Hiperlink" xfId="106" builtinId="8" hidden="1"/>
    <cellStyle name="Hiperlink" xfId="108" builtinId="8" hidden="1"/>
    <cellStyle name="Hiperlink" xfId="110" builtinId="8" hidden="1"/>
    <cellStyle name="Hiperlink" xfId="112" builtinId="8" hidden="1"/>
    <cellStyle name="Hiperlink" xfId="114" builtinId="8" hidden="1"/>
    <cellStyle name="Hiperlink" xfId="116" builtinId="8" hidden="1"/>
    <cellStyle name="Hiperlink" xfId="118" builtinId="8" hidden="1"/>
    <cellStyle name="Hiperlink" xfId="120" builtinId="8" hidden="1"/>
    <cellStyle name="Hiperlink" xfId="122" builtinId="8" hidden="1"/>
    <cellStyle name="Hiperlink" xfId="124" builtinId="8" hidden="1"/>
    <cellStyle name="Hiperlink" xfId="126" builtinId="8" hidden="1"/>
    <cellStyle name="Hiperlink" xfId="128" builtinId="8" hidden="1"/>
    <cellStyle name="Hiperlink" xfId="130" builtinId="8" hidden="1"/>
    <cellStyle name="Hiperlink" xfId="132" builtinId="8" hidden="1"/>
    <cellStyle name="Hiperlink" xfId="134" builtinId="8" hidden="1"/>
    <cellStyle name="Hiperlink" xfId="136" builtinId="8" hidden="1"/>
    <cellStyle name="Hiperlink" xfId="138" builtinId="8" hidden="1"/>
    <cellStyle name="Hiperlink" xfId="140" builtinId="8" hidden="1"/>
    <cellStyle name="Hiperlink" xfId="142" builtinId="8" hidden="1"/>
    <cellStyle name="Hiperlink" xfId="144" builtinId="8" hidden="1"/>
    <cellStyle name="Hiperlink" xfId="146" builtinId="8" hidden="1"/>
    <cellStyle name="Hiperlink" xfId="148" builtinId="8" hidden="1"/>
    <cellStyle name="Hiperlink" xfId="150" builtinId="8" hidden="1"/>
    <cellStyle name="Hiperlink" xfId="152" builtinId="8" hidden="1"/>
    <cellStyle name="Hiperlink" xfId="154" builtinId="8" hidden="1"/>
    <cellStyle name="Hiperlink" xfId="156" builtinId="8" hidden="1"/>
    <cellStyle name="Hiperlink" xfId="158" builtinId="8" hidden="1"/>
    <cellStyle name="Hiperlink" xfId="160" builtinId="8" hidden="1"/>
    <cellStyle name="Hiperlink" xfId="162" builtinId="8" hidden="1"/>
    <cellStyle name="Hiperlink" xfId="164" builtinId="8" hidden="1"/>
    <cellStyle name="Hiperlink" xfId="166" builtinId="8" hidden="1"/>
    <cellStyle name="Hiperlink" xfId="168" builtinId="8" hidden="1"/>
    <cellStyle name="Hiperlink" xfId="170" builtinId="8" hidden="1"/>
    <cellStyle name="Hiperlink" xfId="172" builtinId="8" hidden="1"/>
    <cellStyle name="Hiperlink" xfId="174" builtinId="8" hidden="1"/>
    <cellStyle name="Hiperlink" xfId="176" builtinId="8" hidden="1"/>
    <cellStyle name="Hiperlink" xfId="178" builtinId="8" hidden="1"/>
    <cellStyle name="Hiperlink" xfId="180" builtinId="8" hidden="1"/>
    <cellStyle name="Hiperlink" xfId="182" builtinId="8" hidden="1"/>
    <cellStyle name="Hiperlink" xfId="184" builtinId="8" hidden="1"/>
    <cellStyle name="Hiperlink" xfId="186" builtinId="8" hidden="1"/>
    <cellStyle name="Hiperlink" xfId="188" builtinId="8" hidden="1"/>
    <cellStyle name="Hiperlink" xfId="190" builtinId="8" hidden="1"/>
    <cellStyle name="Hiperlink" xfId="192" builtinId="8" hidden="1"/>
    <cellStyle name="Hiperlink" xfId="194" builtinId="8" hidden="1"/>
    <cellStyle name="Hiperlink" xfId="196" builtinId="8" hidden="1"/>
    <cellStyle name="Hiperlink" xfId="198" builtinId="8" hidden="1"/>
    <cellStyle name="Hiperlink" xfId="200" builtinId="8" hidden="1"/>
    <cellStyle name="Hiperlink" xfId="202" builtinId="8" hidden="1"/>
    <cellStyle name="Hiperlink" xfId="204" builtinId="8" hidden="1"/>
    <cellStyle name="Hiperlink" xfId="206" builtinId="8" hidden="1"/>
    <cellStyle name="Hiperlink" xfId="208" builtinId="8" hidden="1"/>
    <cellStyle name="Hiperlink" xfId="210" builtinId="8" hidden="1"/>
    <cellStyle name="Hiperlink" xfId="212" builtinId="8" hidden="1"/>
    <cellStyle name="Hiperlink" xfId="214" builtinId="8" hidden="1"/>
    <cellStyle name="Hiperlink" xfId="216" builtinId="8" hidden="1"/>
    <cellStyle name="Hiperlink" xfId="218" builtinId="8" hidden="1"/>
    <cellStyle name="Hiperlink" xfId="220" builtinId="8" hidden="1"/>
    <cellStyle name="Hiperlink" xfId="222" builtinId="8" hidden="1"/>
    <cellStyle name="Hiperlink" xfId="224" builtinId="8" hidden="1"/>
    <cellStyle name="Hiperlink" xfId="226" builtinId="8" hidden="1"/>
    <cellStyle name="Hiperlink" xfId="228" builtinId="8" hidden="1"/>
    <cellStyle name="Hiperlink" xfId="230" builtinId="8" hidden="1"/>
    <cellStyle name="Hiperlink" xfId="232" builtinId="8" hidden="1"/>
    <cellStyle name="Hiperlink" xfId="234" builtinId="8" hidden="1"/>
    <cellStyle name="Hiperlink" xfId="236" builtinId="8" hidden="1"/>
    <cellStyle name="Hiperlink" xfId="238" builtinId="8" hidden="1"/>
    <cellStyle name="Hiperlink" xfId="240" builtinId="8" hidden="1"/>
    <cellStyle name="Hiperlink" xfId="242" builtinId="8" hidden="1"/>
    <cellStyle name="Hiperlink" xfId="244" builtinId="8" hidden="1"/>
    <cellStyle name="Hiperlink" xfId="246" builtinId="8" hidden="1"/>
    <cellStyle name="Hiperlink" xfId="248" builtinId="8" hidden="1"/>
    <cellStyle name="Hiperlink" xfId="250" builtinId="8" hidden="1"/>
    <cellStyle name="Hiperlink" xfId="252" builtinId="8" hidden="1"/>
    <cellStyle name="Hiperlink" xfId="254" builtinId="8" hidden="1"/>
    <cellStyle name="Hiperlink" xfId="256" builtinId="8" hidden="1"/>
    <cellStyle name="Hiperlink" xfId="258" builtinId="8" hidden="1"/>
    <cellStyle name="Hiperlink" xfId="260" builtinId="8" hidden="1"/>
    <cellStyle name="Hiperlink" xfId="262" builtinId="8" hidden="1"/>
    <cellStyle name="Hiperlink" xfId="264" builtinId="8" hidden="1"/>
    <cellStyle name="Hiperlink" xfId="266" builtinId="8" hidden="1"/>
    <cellStyle name="Hiperlink" xfId="268" builtinId="8" hidden="1"/>
    <cellStyle name="Hiperlink" xfId="270" builtinId="8" hidden="1"/>
    <cellStyle name="Hiperlink" xfId="272" builtinId="8" hidden="1"/>
    <cellStyle name="Hiperlink" xfId="274" builtinId="8" hidden="1"/>
    <cellStyle name="Hiperlink" xfId="276" builtinId="8" hidden="1"/>
    <cellStyle name="Hiperlink" xfId="278" builtinId="8" hidden="1"/>
    <cellStyle name="Hiperlink" xfId="280" builtinId="8" hidden="1"/>
    <cellStyle name="Hiperlink" xfId="282" builtinId="8" hidden="1"/>
    <cellStyle name="Hiperlink" xfId="284" builtinId="8" hidden="1"/>
    <cellStyle name="Hiperlink" xfId="286" builtinId="8" hidden="1"/>
    <cellStyle name="Hiperlink" xfId="288" builtinId="8" hidden="1"/>
    <cellStyle name="Hiperlink" xfId="290" builtinId="8" hidden="1"/>
    <cellStyle name="Hiperlink" xfId="292" builtinId="8" hidden="1"/>
    <cellStyle name="Hiperlink" xfId="294" builtinId="8" hidden="1"/>
    <cellStyle name="Hiperlink" xfId="296" builtinId="8" hidden="1"/>
    <cellStyle name="Hiperlink" xfId="298" builtinId="8" hidden="1"/>
    <cellStyle name="Hiperlink" xfId="300" builtinId="8" hidden="1"/>
    <cellStyle name="Hiperlink" xfId="302" builtinId="8" hidden="1"/>
    <cellStyle name="Hiperlink" xfId="304" builtinId="8" hidden="1"/>
    <cellStyle name="Hiperlink" xfId="306" builtinId="8" hidden="1"/>
    <cellStyle name="Hiperlink" xfId="308" builtinId="8" hidden="1"/>
    <cellStyle name="Hiperlink" xfId="310" builtinId="8" hidden="1"/>
    <cellStyle name="Hiperlink" xfId="312" builtinId="8" hidden="1"/>
    <cellStyle name="Hiperlink" xfId="314" builtinId="8" hidden="1"/>
    <cellStyle name="Hiperlink" xfId="316" builtinId="8" hidden="1"/>
    <cellStyle name="Hiperlink" xfId="318" builtinId="8" hidden="1"/>
    <cellStyle name="Hiperlink" xfId="320" builtinId="8" hidden="1"/>
    <cellStyle name="Hiperlink" xfId="322" builtinId="8" hidden="1"/>
    <cellStyle name="Hiperlink" xfId="324" builtinId="8" hidden="1"/>
    <cellStyle name="Hiperlink" xfId="326" builtinId="8" hidden="1"/>
    <cellStyle name="Hiperlink" xfId="328" builtinId="8" hidden="1"/>
    <cellStyle name="Hiperlink" xfId="330" builtinId="8" hidden="1"/>
    <cellStyle name="Hiperlink" xfId="332" builtinId="8" hidden="1"/>
    <cellStyle name="Hiperlink" xfId="334" builtinId="8" hidden="1"/>
    <cellStyle name="Hiperlink" xfId="336" builtinId="8" hidden="1"/>
    <cellStyle name="Hiperlink" xfId="338" builtinId="8" hidden="1"/>
    <cellStyle name="Hiperlink" xfId="340" builtinId="8" hidden="1"/>
    <cellStyle name="Hiperlink" xfId="342" builtinId="8" hidden="1"/>
    <cellStyle name="Hiperlink" xfId="344" builtinId="8" hidden="1"/>
    <cellStyle name="Hiperlink" xfId="346" builtinId="8" hidden="1"/>
    <cellStyle name="Hiperlink" xfId="348" builtinId="8" hidden="1"/>
    <cellStyle name="Hiperlink" xfId="350" builtinId="8" hidden="1"/>
    <cellStyle name="Hiperlink" xfId="352" builtinId="8" hidden="1"/>
    <cellStyle name="Hiperlink" xfId="354" builtinId="8" hidden="1"/>
    <cellStyle name="Hiperlink" xfId="356" builtinId="8" hidden="1"/>
    <cellStyle name="Hiperlink Visitado" xfId="9" builtinId="9" hidden="1"/>
    <cellStyle name="Hiperlink Visitado" xfId="11" builtinId="9" hidden="1"/>
    <cellStyle name="Hiperlink Visitado" xfId="13" builtinId="9" hidden="1"/>
    <cellStyle name="Hiperlink Visitado" xfId="15" builtinId="9" hidden="1"/>
    <cellStyle name="Hiperlink Visitado" xfId="17" builtinId="9" hidden="1"/>
    <cellStyle name="Hiperlink Visitado" xfId="19" builtinId="9" hidden="1"/>
    <cellStyle name="Hiperlink Visitado" xfId="21" builtinId="9" hidden="1"/>
    <cellStyle name="Hiperlink Visitado" xfId="23" builtinId="9" hidden="1"/>
    <cellStyle name="Hiperlink Visitado" xfId="25" builtinId="9" hidden="1"/>
    <cellStyle name="Hiperlink Visitado" xfId="27" builtinId="9" hidden="1"/>
    <cellStyle name="Hiperlink Visitado" xfId="29" builtinId="9" hidden="1"/>
    <cellStyle name="Hiperlink Visitado" xfId="31" builtinId="9" hidden="1"/>
    <cellStyle name="Hiperlink Visitado" xfId="33" builtinId="9" hidden="1"/>
    <cellStyle name="Hiperlink Visitado" xfId="35" builtinId="9" hidden="1"/>
    <cellStyle name="Hiperlink Visitado" xfId="37" builtinId="9" hidden="1"/>
    <cellStyle name="Hiperlink Visitado" xfId="39" builtinId="9" hidden="1"/>
    <cellStyle name="Hiperlink Visitado" xfId="41" builtinId="9" hidden="1"/>
    <cellStyle name="Hiperlink Visitado" xfId="43" builtinId="9" hidden="1"/>
    <cellStyle name="Hiperlink Visitado" xfId="45" builtinId="9" hidden="1"/>
    <cellStyle name="Hiperlink Visitado" xfId="47" builtinId="9" hidden="1"/>
    <cellStyle name="Hiperlink Visitado" xfId="49" builtinId="9" hidden="1"/>
    <cellStyle name="Hiperlink Visitado" xfId="51" builtinId="9" hidden="1"/>
    <cellStyle name="Hiperlink Visitado" xfId="53" builtinId="9" hidden="1"/>
    <cellStyle name="Hiperlink Visitado" xfId="55" builtinId="9" hidden="1"/>
    <cellStyle name="Hiperlink Visitado" xfId="57" builtinId="9" hidden="1"/>
    <cellStyle name="Hiperlink Visitado" xfId="59" builtinId="9" hidden="1"/>
    <cellStyle name="Hiperlink Visitado" xfId="61" builtinId="9" hidden="1"/>
    <cellStyle name="Hiperlink Visitado" xfId="63" builtinId="9" hidden="1"/>
    <cellStyle name="Hiperlink Visitado" xfId="65" builtinId="9" hidden="1"/>
    <cellStyle name="Hiperlink Visitado" xfId="67" builtinId="9" hidden="1"/>
    <cellStyle name="Hiperlink Visitado" xfId="69" builtinId="9" hidden="1"/>
    <cellStyle name="Hiperlink Visitado" xfId="71" builtinId="9" hidden="1"/>
    <cellStyle name="Hiperlink Visitado" xfId="73" builtinId="9" hidden="1"/>
    <cellStyle name="Hiperlink Visitado" xfId="75" builtinId="9" hidden="1"/>
    <cellStyle name="Hiperlink Visitado" xfId="77" builtinId="9" hidden="1"/>
    <cellStyle name="Hiperlink Visitado" xfId="79" builtinId="9" hidden="1"/>
    <cellStyle name="Hiperlink Visitado" xfId="81" builtinId="9" hidden="1"/>
    <cellStyle name="Hiperlink Visitado" xfId="83" builtinId="9" hidden="1"/>
    <cellStyle name="Hiperlink Visitado" xfId="85" builtinId="9" hidden="1"/>
    <cellStyle name="Hiperlink Visitado" xfId="87" builtinId="9" hidden="1"/>
    <cellStyle name="Hiperlink Visitado" xfId="89" builtinId="9" hidden="1"/>
    <cellStyle name="Hiperlink Visitado" xfId="91" builtinId="9" hidden="1"/>
    <cellStyle name="Hiperlink Visitado" xfId="93" builtinId="9" hidden="1"/>
    <cellStyle name="Hiperlink Visitado" xfId="95" builtinId="9" hidden="1"/>
    <cellStyle name="Hiperlink Visitado" xfId="97" builtinId="9" hidden="1"/>
    <cellStyle name="Hiperlink Visitado" xfId="99" builtinId="9" hidden="1"/>
    <cellStyle name="Hiperlink Visitado" xfId="101" builtinId="9" hidden="1"/>
    <cellStyle name="Hiperlink Visitado" xfId="103" builtinId="9" hidden="1"/>
    <cellStyle name="Hiperlink Visitado" xfId="105" builtinId="9" hidden="1"/>
    <cellStyle name="Hiperlink Visitado" xfId="107" builtinId="9" hidden="1"/>
    <cellStyle name="Hiperlink Visitado" xfId="109" builtinId="9" hidden="1"/>
    <cellStyle name="Hiperlink Visitado" xfId="111" builtinId="9" hidden="1"/>
    <cellStyle name="Hiperlink Visitado" xfId="113" builtinId="9" hidden="1"/>
    <cellStyle name="Hiperlink Visitado" xfId="115" builtinId="9" hidden="1"/>
    <cellStyle name="Hiperlink Visitado" xfId="117" builtinId="9" hidden="1"/>
    <cellStyle name="Hiperlink Visitado" xfId="119" builtinId="9" hidden="1"/>
    <cellStyle name="Hiperlink Visitado" xfId="121" builtinId="9" hidden="1"/>
    <cellStyle name="Hiperlink Visitado" xfId="123" builtinId="9" hidden="1"/>
    <cellStyle name="Hiperlink Visitado" xfId="125" builtinId="9" hidden="1"/>
    <cellStyle name="Hiperlink Visitado" xfId="127" builtinId="9" hidden="1"/>
    <cellStyle name="Hiperlink Visitado" xfId="129" builtinId="9" hidden="1"/>
    <cellStyle name="Hiperlink Visitado" xfId="131" builtinId="9" hidden="1"/>
    <cellStyle name="Hiperlink Visitado" xfId="133" builtinId="9" hidden="1"/>
    <cellStyle name="Hiperlink Visitado" xfId="135" builtinId="9" hidden="1"/>
    <cellStyle name="Hiperlink Visitado" xfId="137" builtinId="9" hidden="1"/>
    <cellStyle name="Hiperlink Visitado" xfId="139" builtinId="9" hidden="1"/>
    <cellStyle name="Hiperlink Visitado" xfId="141" builtinId="9" hidden="1"/>
    <cellStyle name="Hiperlink Visitado" xfId="143" builtinId="9" hidden="1"/>
    <cellStyle name="Hiperlink Visitado" xfId="145" builtinId="9" hidden="1"/>
    <cellStyle name="Hiperlink Visitado" xfId="147" builtinId="9" hidden="1"/>
    <cellStyle name="Hiperlink Visitado" xfId="149" builtinId="9" hidden="1"/>
    <cellStyle name="Hiperlink Visitado" xfId="151" builtinId="9" hidden="1"/>
    <cellStyle name="Hiperlink Visitado" xfId="153" builtinId="9" hidden="1"/>
    <cellStyle name="Hiperlink Visitado" xfId="155" builtinId="9" hidden="1"/>
    <cellStyle name="Hiperlink Visitado" xfId="157" builtinId="9" hidden="1"/>
    <cellStyle name="Hiperlink Visitado" xfId="159" builtinId="9" hidden="1"/>
    <cellStyle name="Hiperlink Visitado" xfId="161" builtinId="9" hidden="1"/>
    <cellStyle name="Hiperlink Visitado" xfId="163" builtinId="9" hidden="1"/>
    <cellStyle name="Hiperlink Visitado" xfId="165" builtinId="9" hidden="1"/>
    <cellStyle name="Hiperlink Visitado" xfId="167" builtinId="9" hidden="1"/>
    <cellStyle name="Hiperlink Visitado" xfId="169" builtinId="9" hidden="1"/>
    <cellStyle name="Hiperlink Visitado" xfId="171" builtinId="9" hidden="1"/>
    <cellStyle name="Hiperlink Visitado" xfId="173" builtinId="9" hidden="1"/>
    <cellStyle name="Hiperlink Visitado" xfId="175" builtinId="9" hidden="1"/>
    <cellStyle name="Hiperlink Visitado" xfId="177" builtinId="9" hidden="1"/>
    <cellStyle name="Hiperlink Visitado" xfId="179" builtinId="9" hidden="1"/>
    <cellStyle name="Hiperlink Visitado" xfId="181" builtinId="9" hidden="1"/>
    <cellStyle name="Hiperlink Visitado" xfId="183" builtinId="9" hidden="1"/>
    <cellStyle name="Hiperlink Visitado" xfId="185" builtinId="9" hidden="1"/>
    <cellStyle name="Hiperlink Visitado" xfId="187" builtinId="9" hidden="1"/>
    <cellStyle name="Hiperlink Visitado" xfId="189" builtinId="9" hidden="1"/>
    <cellStyle name="Hiperlink Visitado" xfId="191" builtinId="9" hidden="1"/>
    <cellStyle name="Hiperlink Visitado" xfId="193" builtinId="9" hidden="1"/>
    <cellStyle name="Hiperlink Visitado" xfId="195" builtinId="9" hidden="1"/>
    <cellStyle name="Hiperlink Visitado" xfId="197" builtinId="9" hidden="1"/>
    <cellStyle name="Hiperlink Visitado" xfId="199" builtinId="9" hidden="1"/>
    <cellStyle name="Hiperlink Visitado" xfId="201" builtinId="9" hidden="1"/>
    <cellStyle name="Hiperlink Visitado" xfId="203" builtinId="9" hidden="1"/>
    <cellStyle name="Hiperlink Visitado" xfId="205" builtinId="9" hidden="1"/>
    <cellStyle name="Hiperlink Visitado" xfId="207" builtinId="9" hidden="1"/>
    <cellStyle name="Hiperlink Visitado" xfId="209" builtinId="9" hidden="1"/>
    <cellStyle name="Hiperlink Visitado" xfId="211" builtinId="9" hidden="1"/>
    <cellStyle name="Hiperlink Visitado" xfId="213" builtinId="9" hidden="1"/>
    <cellStyle name="Hiperlink Visitado" xfId="215" builtinId="9" hidden="1"/>
    <cellStyle name="Hiperlink Visitado" xfId="217" builtinId="9" hidden="1"/>
    <cellStyle name="Hiperlink Visitado" xfId="219" builtinId="9" hidden="1"/>
    <cellStyle name="Hiperlink Visitado" xfId="221" builtinId="9" hidden="1"/>
    <cellStyle name="Hiperlink Visitado" xfId="223" builtinId="9" hidden="1"/>
    <cellStyle name="Hiperlink Visitado" xfId="225" builtinId="9" hidden="1"/>
    <cellStyle name="Hiperlink Visitado" xfId="227" builtinId="9" hidden="1"/>
    <cellStyle name="Hiperlink Visitado" xfId="229" builtinId="9" hidden="1"/>
    <cellStyle name="Hiperlink Visitado" xfId="231" builtinId="9" hidden="1"/>
    <cellStyle name="Hiperlink Visitado" xfId="233" builtinId="9" hidden="1"/>
    <cellStyle name="Hiperlink Visitado" xfId="235" builtinId="9" hidden="1"/>
    <cellStyle name="Hiperlink Visitado" xfId="237" builtinId="9" hidden="1"/>
    <cellStyle name="Hiperlink Visitado" xfId="239" builtinId="9" hidden="1"/>
    <cellStyle name="Hiperlink Visitado" xfId="241" builtinId="9" hidden="1"/>
    <cellStyle name="Hiperlink Visitado" xfId="243" builtinId="9" hidden="1"/>
    <cellStyle name="Hiperlink Visitado" xfId="245" builtinId="9" hidden="1"/>
    <cellStyle name="Hiperlink Visitado" xfId="247" builtinId="9" hidden="1"/>
    <cellStyle name="Hiperlink Visitado" xfId="249" builtinId="9" hidden="1"/>
    <cellStyle name="Hiperlink Visitado" xfId="251" builtinId="9" hidden="1"/>
    <cellStyle name="Hiperlink Visitado" xfId="253" builtinId="9" hidden="1"/>
    <cellStyle name="Hiperlink Visitado" xfId="255" builtinId="9" hidden="1"/>
    <cellStyle name="Hiperlink Visitado" xfId="257" builtinId="9" hidden="1"/>
    <cellStyle name="Hiperlink Visitado" xfId="259" builtinId="9" hidden="1"/>
    <cellStyle name="Hiperlink Visitado" xfId="261" builtinId="9" hidden="1"/>
    <cellStyle name="Hiperlink Visitado" xfId="263" builtinId="9" hidden="1"/>
    <cellStyle name="Hiperlink Visitado" xfId="265" builtinId="9" hidden="1"/>
    <cellStyle name="Hiperlink Visitado" xfId="267" builtinId="9" hidden="1"/>
    <cellStyle name="Hiperlink Visitado" xfId="269" builtinId="9" hidden="1"/>
    <cellStyle name="Hiperlink Visitado" xfId="271" builtinId="9" hidden="1"/>
    <cellStyle name="Hiperlink Visitado" xfId="273" builtinId="9" hidden="1"/>
    <cellStyle name="Hiperlink Visitado" xfId="275" builtinId="9" hidden="1"/>
    <cellStyle name="Hiperlink Visitado" xfId="277" builtinId="9" hidden="1"/>
    <cellStyle name="Hiperlink Visitado" xfId="279" builtinId="9" hidden="1"/>
    <cellStyle name="Hiperlink Visitado" xfId="281" builtinId="9" hidden="1"/>
    <cellStyle name="Hiperlink Visitado" xfId="283" builtinId="9" hidden="1"/>
    <cellStyle name="Hiperlink Visitado" xfId="285" builtinId="9" hidden="1"/>
    <cellStyle name="Hiperlink Visitado" xfId="287" builtinId="9" hidden="1"/>
    <cellStyle name="Hiperlink Visitado" xfId="289" builtinId="9" hidden="1"/>
    <cellStyle name="Hiperlink Visitado" xfId="291" builtinId="9" hidden="1"/>
    <cellStyle name="Hiperlink Visitado" xfId="293" builtinId="9" hidden="1"/>
    <cellStyle name="Hiperlink Visitado" xfId="295" builtinId="9" hidden="1"/>
    <cellStyle name="Hiperlink Visitado" xfId="297" builtinId="9" hidden="1"/>
    <cellStyle name="Hiperlink Visitado" xfId="299" builtinId="9" hidden="1"/>
    <cellStyle name="Hiperlink Visitado" xfId="301" builtinId="9" hidden="1"/>
    <cellStyle name="Hiperlink Visitado" xfId="303" builtinId="9" hidden="1"/>
    <cellStyle name="Hiperlink Visitado" xfId="305" builtinId="9" hidden="1"/>
    <cellStyle name="Hiperlink Visitado" xfId="307" builtinId="9" hidden="1"/>
    <cellStyle name="Hiperlink Visitado" xfId="309" builtinId="9" hidden="1"/>
    <cellStyle name="Hiperlink Visitado" xfId="311" builtinId="9" hidden="1"/>
    <cellStyle name="Hiperlink Visitado" xfId="313" builtinId="9" hidden="1"/>
    <cellStyle name="Hiperlink Visitado" xfId="315" builtinId="9" hidden="1"/>
    <cellStyle name="Hiperlink Visitado" xfId="317" builtinId="9" hidden="1"/>
    <cellStyle name="Hiperlink Visitado" xfId="319" builtinId="9" hidden="1"/>
    <cellStyle name="Hiperlink Visitado" xfId="321" builtinId="9" hidden="1"/>
    <cellStyle name="Hiperlink Visitado" xfId="323" builtinId="9" hidden="1"/>
    <cellStyle name="Hiperlink Visitado" xfId="325" builtinId="9" hidden="1"/>
    <cellStyle name="Hiperlink Visitado" xfId="327" builtinId="9" hidden="1"/>
    <cellStyle name="Hiperlink Visitado" xfId="329" builtinId="9" hidden="1"/>
    <cellStyle name="Hiperlink Visitado" xfId="331" builtinId="9" hidden="1"/>
    <cellStyle name="Hiperlink Visitado" xfId="333" builtinId="9" hidden="1"/>
    <cellStyle name="Hiperlink Visitado" xfId="335" builtinId="9" hidden="1"/>
    <cellStyle name="Hiperlink Visitado" xfId="337" builtinId="9" hidden="1"/>
    <cellStyle name="Hiperlink Visitado" xfId="339" builtinId="9" hidden="1"/>
    <cellStyle name="Hiperlink Visitado" xfId="341" builtinId="9" hidden="1"/>
    <cellStyle name="Hiperlink Visitado" xfId="343" builtinId="9" hidden="1"/>
    <cellStyle name="Hiperlink Visitado" xfId="345" builtinId="9" hidden="1"/>
    <cellStyle name="Hiperlink Visitado" xfId="347" builtinId="9" hidden="1"/>
    <cellStyle name="Hiperlink Visitado" xfId="349" builtinId="9" hidden="1"/>
    <cellStyle name="Hiperlink Visitado" xfId="351" builtinId="9" hidden="1"/>
    <cellStyle name="Hiperlink Visitado" xfId="353" builtinId="9" hidden="1"/>
    <cellStyle name="Hiperlink Visitado" xfId="355" builtinId="9" hidden="1"/>
    <cellStyle name="Hiperlink Visitado" xfId="357" builtinId="9" hidden="1"/>
    <cellStyle name="Normal" xfId="0" builtinId="0" customBuiltin="1"/>
    <cellStyle name="Normal 2" xfId="4" xr:uid="{00000000-0005-0000-0000-000062010000}"/>
    <cellStyle name="Normal 3" xfId="5" xr:uid="{00000000-0005-0000-0000-000063010000}"/>
    <cellStyle name="Normal 4" xfId="358" xr:uid="{00000000-0005-0000-0000-000064010000}"/>
    <cellStyle name="Normal 5" xfId="359" xr:uid="{00000000-0005-0000-0000-000065010000}"/>
    <cellStyle name="Result" xfId="6" xr:uid="{00000000-0005-0000-0000-000066010000}"/>
    <cellStyle name="Result2" xfId="7" xr:uid="{00000000-0005-0000-0000-000067010000}"/>
  </cellStyles>
  <dxfs count="0"/>
  <tableStyles count="0" defaultTableStyle="TableStyleMedium9" defaultPivotStyle="PivotStyleLight16"/>
  <colors>
    <mruColors>
      <color rgb="FF00FF00"/>
      <color rgb="FF7D5FA0"/>
      <color rgb="FFBE4B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82894883787418E-2"/>
          <c:y val="0.10777068444945971"/>
          <c:w val="0.8919582242105637"/>
          <c:h val="0.64953390133249811"/>
        </c:manualLayout>
      </c:layout>
      <c:lineChart>
        <c:grouping val="standard"/>
        <c:varyColors val="0"/>
        <c:ser>
          <c:idx val="0"/>
          <c:order val="0"/>
          <c:tx>
            <c:strRef>
              <c:f>'Spr15'!$C$1</c:f>
              <c:strCache>
                <c:ptCount val="1"/>
                <c:pt idx="0">
                  <c:v>Velocidade Ideal</c:v>
                </c:pt>
              </c:strCache>
            </c:strRef>
          </c:tx>
          <c:spPr>
            <a:ln w="28440">
              <a:solidFill>
                <a:srgbClr val="BE4B48"/>
              </a:solidFill>
            </a:ln>
          </c:spPr>
          <c:marker>
            <c:symbol val="none"/>
          </c:marker>
          <c:cat>
            <c:numRef>
              <c:f>'Spr15'!$A$2:$A$13</c:f>
              <c:numCache>
                <c:formatCode>m/d/yyyy</c:formatCode>
                <c:ptCount val="12"/>
                <c:pt idx="0">
                  <c:v>44109</c:v>
                </c:pt>
                <c:pt idx="1">
                  <c:v>44110</c:v>
                </c:pt>
                <c:pt idx="2">
                  <c:v>44111</c:v>
                </c:pt>
                <c:pt idx="3">
                  <c:v>44112</c:v>
                </c:pt>
                <c:pt idx="4">
                  <c:v>44113</c:v>
                </c:pt>
                <c:pt idx="5">
                  <c:v>44114</c:v>
                </c:pt>
                <c:pt idx="6">
                  <c:v>44115</c:v>
                </c:pt>
                <c:pt idx="7">
                  <c:v>44116</c:v>
                </c:pt>
                <c:pt idx="8">
                  <c:v>44117</c:v>
                </c:pt>
                <c:pt idx="9">
                  <c:v>44118</c:v>
                </c:pt>
                <c:pt idx="10">
                  <c:v>44119</c:v>
                </c:pt>
                <c:pt idx="11">
                  <c:v>44120</c:v>
                </c:pt>
              </c:numCache>
            </c:numRef>
          </c:cat>
          <c:val>
            <c:numRef>
              <c:f>'Spr15'!$C$2:$C$13</c:f>
              <c:numCache>
                <c:formatCode>[$-416]General</c:formatCode>
                <c:ptCount val="12"/>
                <c:pt idx="0">
                  <c:v>157</c:v>
                </c:pt>
                <c:pt idx="1">
                  <c:v>137.375</c:v>
                </c:pt>
                <c:pt idx="2">
                  <c:v>117.75</c:v>
                </c:pt>
                <c:pt idx="3">
                  <c:v>98.125</c:v>
                </c:pt>
                <c:pt idx="4">
                  <c:v>98.125</c:v>
                </c:pt>
                <c:pt idx="5">
                  <c:v>98.125</c:v>
                </c:pt>
                <c:pt idx="6">
                  <c:v>98.125</c:v>
                </c:pt>
                <c:pt idx="7">
                  <c:v>98.125</c:v>
                </c:pt>
                <c:pt idx="8">
                  <c:v>86.59375</c:v>
                </c:pt>
                <c:pt idx="9">
                  <c:v>57.729166666666671</c:v>
                </c:pt>
                <c:pt idx="10">
                  <c:v>28.864583333333336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7-4DEE-B999-EC34F4A2896A}"/>
            </c:ext>
          </c:extLst>
        </c:ser>
        <c:ser>
          <c:idx val="1"/>
          <c:order val="1"/>
          <c:tx>
            <c:strRef>
              <c:f>'Spr15'!$E$1</c:f>
              <c:strCache>
                <c:ptCount val="1"/>
                <c:pt idx="0">
                  <c:v>Velocidade da Sprint</c:v>
                </c:pt>
              </c:strCache>
            </c:strRef>
          </c:tx>
          <c:spPr>
            <a:ln>
              <a:solidFill>
                <a:srgbClr val="7D5FA0"/>
              </a:solidFill>
            </a:ln>
          </c:spPr>
          <c:marker>
            <c:symbol val="none"/>
          </c:marker>
          <c:cat>
            <c:numRef>
              <c:f>'Spr15'!$A$2:$A$13</c:f>
              <c:numCache>
                <c:formatCode>m/d/yyyy</c:formatCode>
                <c:ptCount val="12"/>
                <c:pt idx="0">
                  <c:v>44109</c:v>
                </c:pt>
                <c:pt idx="1">
                  <c:v>44110</c:v>
                </c:pt>
                <c:pt idx="2">
                  <c:v>44111</c:v>
                </c:pt>
                <c:pt idx="3">
                  <c:v>44112</c:v>
                </c:pt>
                <c:pt idx="4">
                  <c:v>44113</c:v>
                </c:pt>
                <c:pt idx="5">
                  <c:v>44114</c:v>
                </c:pt>
                <c:pt idx="6">
                  <c:v>44115</c:v>
                </c:pt>
                <c:pt idx="7">
                  <c:v>44116</c:v>
                </c:pt>
                <c:pt idx="8">
                  <c:v>44117</c:v>
                </c:pt>
                <c:pt idx="9">
                  <c:v>44118</c:v>
                </c:pt>
                <c:pt idx="10">
                  <c:v>44119</c:v>
                </c:pt>
                <c:pt idx="11">
                  <c:v>44120</c:v>
                </c:pt>
              </c:numCache>
            </c:numRef>
          </c:cat>
          <c:val>
            <c:numRef>
              <c:f>'Spr15'!$E$2:$E$13</c:f>
              <c:numCache>
                <c:formatCode>[$-416]General</c:formatCode>
                <c:ptCount val="12"/>
                <c:pt idx="0">
                  <c:v>84</c:v>
                </c:pt>
                <c:pt idx="1">
                  <c:v>81</c:v>
                </c:pt>
                <c:pt idx="2">
                  <c:v>47</c:v>
                </c:pt>
                <c:pt idx="3">
                  <c:v>47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C7-4DEE-B999-EC34F4A2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3123328"/>
        <c:axId val="-193119520"/>
      </c:lineChart>
      <c:valAx>
        <c:axId val="-19311952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</a:ln>
          </c:spPr>
        </c:majorGridlines>
        <c:numFmt formatCode="[$-416]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txPr>
          <a:bodyPr/>
          <a:lstStyle/>
          <a:p>
            <a:pPr>
              <a:defRPr sz="1000" b="0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-193123328"/>
        <c:crosses val="autoZero"/>
        <c:crossBetween val="between"/>
      </c:valAx>
      <c:dateAx>
        <c:axId val="-1931233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txPr>
          <a:bodyPr/>
          <a:lstStyle/>
          <a:p>
            <a:pPr>
              <a:defRPr sz="1000" b="0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-193119520"/>
        <c:crosses val="autoZero"/>
        <c:auto val="1"/>
        <c:lblOffset val="100"/>
        <c:baseTimeUnit val="days"/>
      </c:date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sz="1000" b="0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0"/>
  </c:chart>
  <c:spPr>
    <a:ln w="9360">
      <a:solidFill>
        <a:srgbClr val="878787"/>
      </a:solidFill>
      <a:prstDash val="solid"/>
    </a:ln>
  </c:spPr>
  <c:printSettings>
    <c:headerFooter/>
    <c:pageMargins b="0.78740157499999996" l="0.511811024" r="0.511811024" t="0.78740157499999996" header="0.31496062000001085" footer="0.3149606200000108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82894883787418E-2"/>
          <c:y val="0.10777068444945971"/>
          <c:w val="0.8919582242105637"/>
          <c:h val="0.64953390133249811"/>
        </c:manualLayout>
      </c:layout>
      <c:lineChart>
        <c:grouping val="standard"/>
        <c:varyColors val="0"/>
        <c:ser>
          <c:idx val="0"/>
          <c:order val="0"/>
          <c:tx>
            <c:strRef>
              <c:f>'Spr9'!$C$1</c:f>
              <c:strCache>
                <c:ptCount val="1"/>
                <c:pt idx="0">
                  <c:v>Velocidade Ideal</c:v>
                </c:pt>
              </c:strCache>
            </c:strRef>
          </c:tx>
          <c:spPr>
            <a:ln w="28440">
              <a:solidFill>
                <a:srgbClr val="BE4B48"/>
              </a:solidFill>
            </a:ln>
          </c:spPr>
          <c:marker>
            <c:symbol val="none"/>
          </c:marker>
          <c:cat>
            <c:numRef>
              <c:f>'Spr9'!$A$2:$A$13</c:f>
              <c:numCache>
                <c:formatCode>m/d/yyyy</c:formatCode>
                <c:ptCount val="12"/>
                <c:pt idx="0">
                  <c:v>44053</c:v>
                </c:pt>
                <c:pt idx="1">
                  <c:v>44054</c:v>
                </c:pt>
                <c:pt idx="2">
                  <c:v>44055</c:v>
                </c:pt>
                <c:pt idx="3">
                  <c:v>44056</c:v>
                </c:pt>
                <c:pt idx="4">
                  <c:v>44057</c:v>
                </c:pt>
                <c:pt idx="5">
                  <c:v>44058</c:v>
                </c:pt>
                <c:pt idx="6">
                  <c:v>44059</c:v>
                </c:pt>
                <c:pt idx="7">
                  <c:v>44060</c:v>
                </c:pt>
                <c:pt idx="8">
                  <c:v>44061</c:v>
                </c:pt>
                <c:pt idx="9">
                  <c:v>44062</c:v>
                </c:pt>
                <c:pt idx="10">
                  <c:v>44063</c:v>
                </c:pt>
                <c:pt idx="11">
                  <c:v>44064</c:v>
                </c:pt>
              </c:numCache>
            </c:numRef>
          </c:cat>
          <c:val>
            <c:numRef>
              <c:f>'Spr9'!$C$2:$C$13</c:f>
              <c:numCache>
                <c:formatCode>[$-416]General</c:formatCode>
                <c:ptCount val="12"/>
                <c:pt idx="0">
                  <c:v>87</c:v>
                </c:pt>
                <c:pt idx="1">
                  <c:v>77.333333333333329</c:v>
                </c:pt>
                <c:pt idx="2">
                  <c:v>67.666666666666657</c:v>
                </c:pt>
                <c:pt idx="3">
                  <c:v>57.999999999999993</c:v>
                </c:pt>
                <c:pt idx="4">
                  <c:v>48.333333333333329</c:v>
                </c:pt>
                <c:pt idx="5">
                  <c:v>48.333333333333329</c:v>
                </c:pt>
                <c:pt idx="6">
                  <c:v>48.333333333333329</c:v>
                </c:pt>
                <c:pt idx="7">
                  <c:v>38.666666666666664</c:v>
                </c:pt>
                <c:pt idx="8">
                  <c:v>29</c:v>
                </c:pt>
                <c:pt idx="9">
                  <c:v>19.333333333333336</c:v>
                </c:pt>
                <c:pt idx="10">
                  <c:v>9.6666666666666679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4-43A8-9224-A334401760AF}"/>
            </c:ext>
          </c:extLst>
        </c:ser>
        <c:ser>
          <c:idx val="1"/>
          <c:order val="1"/>
          <c:tx>
            <c:strRef>
              <c:f>'Spr9'!$E$1</c:f>
              <c:strCache>
                <c:ptCount val="1"/>
                <c:pt idx="0">
                  <c:v>Velocidade da Sprint</c:v>
                </c:pt>
              </c:strCache>
            </c:strRef>
          </c:tx>
          <c:spPr>
            <a:ln w="28440">
              <a:solidFill>
                <a:srgbClr val="7D5FA0"/>
              </a:solidFill>
            </a:ln>
          </c:spPr>
          <c:marker>
            <c:symbol val="none"/>
          </c:marker>
          <c:cat>
            <c:numRef>
              <c:f>'Spr9'!$A$2:$A$13</c:f>
              <c:numCache>
                <c:formatCode>m/d/yyyy</c:formatCode>
                <c:ptCount val="12"/>
                <c:pt idx="0">
                  <c:v>44053</c:v>
                </c:pt>
                <c:pt idx="1">
                  <c:v>44054</c:v>
                </c:pt>
                <c:pt idx="2">
                  <c:v>44055</c:v>
                </c:pt>
                <c:pt idx="3">
                  <c:v>44056</c:v>
                </c:pt>
                <c:pt idx="4">
                  <c:v>44057</c:v>
                </c:pt>
                <c:pt idx="5">
                  <c:v>44058</c:v>
                </c:pt>
                <c:pt idx="6">
                  <c:v>44059</c:v>
                </c:pt>
                <c:pt idx="7">
                  <c:v>44060</c:v>
                </c:pt>
                <c:pt idx="8">
                  <c:v>44061</c:v>
                </c:pt>
                <c:pt idx="9">
                  <c:v>44062</c:v>
                </c:pt>
                <c:pt idx="10">
                  <c:v>44063</c:v>
                </c:pt>
                <c:pt idx="11">
                  <c:v>44064</c:v>
                </c:pt>
              </c:numCache>
            </c:numRef>
          </c:cat>
          <c:val>
            <c:numRef>
              <c:f>'Spr9'!$E$2:$E$13</c:f>
              <c:numCache>
                <c:formatCode>[$-416]General</c:formatCode>
                <c:ptCount val="12"/>
                <c:pt idx="0">
                  <c:v>84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68</c:v>
                </c:pt>
                <c:pt idx="8">
                  <c:v>21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4-43A8-9224-A33440176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3123328"/>
        <c:axId val="-193119520"/>
      </c:lineChart>
      <c:valAx>
        <c:axId val="-19311952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</a:ln>
          </c:spPr>
        </c:majorGridlines>
        <c:numFmt formatCode="[$-416]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txPr>
          <a:bodyPr/>
          <a:lstStyle/>
          <a:p>
            <a:pPr>
              <a:defRPr sz="1000" b="0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-193123328"/>
        <c:crosses val="autoZero"/>
        <c:crossBetween val="between"/>
      </c:valAx>
      <c:dateAx>
        <c:axId val="-1931233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txPr>
          <a:bodyPr/>
          <a:lstStyle/>
          <a:p>
            <a:pPr>
              <a:defRPr sz="1000" b="0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-193119520"/>
        <c:crosses val="autoZero"/>
        <c:auto val="1"/>
        <c:lblOffset val="100"/>
        <c:baseTimeUnit val="days"/>
      </c:date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sz="1000" b="0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0"/>
  </c:chart>
  <c:spPr>
    <a:ln w="9360">
      <a:solidFill>
        <a:srgbClr val="878787"/>
      </a:solidFill>
      <a:prstDash val="solid"/>
    </a:ln>
  </c:spPr>
  <c:printSettings>
    <c:headerFooter/>
    <c:pageMargins b="0.78740157499999996" l="0.511811024" r="0.511811024" t="0.78740157499999996" header="0.31496062000001085" footer="0.3149606200000108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42503777936835E-2"/>
          <c:y val="4.4360119109535558E-2"/>
          <c:w val="0.90386113099498944"/>
          <c:h val="0.64953390133249811"/>
        </c:manualLayout>
      </c:layout>
      <c:lineChart>
        <c:grouping val="standard"/>
        <c:varyColors val="0"/>
        <c:ser>
          <c:idx val="0"/>
          <c:order val="0"/>
          <c:tx>
            <c:strRef>
              <c:f>'Spr5'!$C$1</c:f>
              <c:strCache>
                <c:ptCount val="1"/>
                <c:pt idx="0">
                  <c:v>Velocidade Ideal</c:v>
                </c:pt>
              </c:strCache>
            </c:strRef>
          </c:tx>
          <c:spPr>
            <a:ln w="28440">
              <a:solidFill>
                <a:srgbClr val="BE4B48"/>
              </a:solidFill>
            </a:ln>
          </c:spPr>
          <c:marker>
            <c:symbol val="none"/>
          </c:marker>
          <c:cat>
            <c:numRef>
              <c:f>'Spr5'!$A$2:$A$13</c:f>
              <c:numCache>
                <c:formatCode>m/d/yyyy</c:formatCode>
                <c:ptCount val="12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</c:numCache>
            </c:numRef>
          </c:cat>
          <c:val>
            <c:numRef>
              <c:f>'Spr5'!$C$2:$C$13</c:f>
              <c:numCache>
                <c:formatCode>General</c:formatCode>
                <c:ptCount val="12"/>
                <c:pt idx="0">
                  <c:v>32</c:v>
                </c:pt>
                <c:pt idx="1">
                  <c:v>28.444444444444443</c:v>
                </c:pt>
                <c:pt idx="2">
                  <c:v>24.888888888888886</c:v>
                </c:pt>
                <c:pt idx="3">
                  <c:v>21.333333333333332</c:v>
                </c:pt>
                <c:pt idx="4" formatCode="[$-416]General">
                  <c:v>29.777777777777779</c:v>
                </c:pt>
                <c:pt idx="5">
                  <c:v>29.777777777777779</c:v>
                </c:pt>
                <c:pt idx="6">
                  <c:v>29.777777777777779</c:v>
                </c:pt>
                <c:pt idx="7">
                  <c:v>23.822222222222223</c:v>
                </c:pt>
                <c:pt idx="8">
                  <c:v>17.866666666666667</c:v>
                </c:pt>
                <c:pt idx="9">
                  <c:v>11.911111111111111</c:v>
                </c:pt>
                <c:pt idx="10">
                  <c:v>5.9555555555555557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9-40DB-AB89-4593D9A2E6E4}"/>
            </c:ext>
          </c:extLst>
        </c:ser>
        <c:ser>
          <c:idx val="1"/>
          <c:order val="1"/>
          <c:tx>
            <c:strRef>
              <c:f>'Spr5'!$E$1</c:f>
              <c:strCache>
                <c:ptCount val="1"/>
                <c:pt idx="0">
                  <c:v>Velocidade da Sprint</c:v>
                </c:pt>
              </c:strCache>
            </c:strRef>
          </c:tx>
          <c:spPr>
            <a:ln>
              <a:solidFill>
                <a:srgbClr val="7D5FA0"/>
              </a:solidFill>
            </a:ln>
          </c:spPr>
          <c:marker>
            <c:symbol val="none"/>
          </c:marker>
          <c:cat>
            <c:numRef>
              <c:f>'Spr5'!$A$2:$A$13</c:f>
              <c:numCache>
                <c:formatCode>m/d/yyyy</c:formatCode>
                <c:ptCount val="12"/>
                <c:pt idx="0">
                  <c:v>44004</c:v>
                </c:pt>
                <c:pt idx="1">
                  <c:v>44005</c:v>
                </c:pt>
                <c:pt idx="2">
                  <c:v>44006</c:v>
                </c:pt>
                <c:pt idx="3">
                  <c:v>44007</c:v>
                </c:pt>
                <c:pt idx="4">
                  <c:v>44008</c:v>
                </c:pt>
                <c:pt idx="5">
                  <c:v>44009</c:v>
                </c:pt>
                <c:pt idx="6">
                  <c:v>44010</c:v>
                </c:pt>
                <c:pt idx="7">
                  <c:v>44011</c:v>
                </c:pt>
                <c:pt idx="8">
                  <c:v>44012</c:v>
                </c:pt>
                <c:pt idx="9">
                  <c:v>44013</c:v>
                </c:pt>
                <c:pt idx="10">
                  <c:v>44014</c:v>
                </c:pt>
                <c:pt idx="11">
                  <c:v>44015</c:v>
                </c:pt>
              </c:numCache>
            </c:numRef>
          </c:cat>
          <c:val>
            <c:numRef>
              <c:f>'Spr5'!$E$2:$E$13</c:f>
              <c:numCache>
                <c:formatCode>[$-416]General</c:formatCode>
                <c:ptCount val="12"/>
                <c:pt idx="0">
                  <c:v>32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F9-40DB-AB89-4593D9A2E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2240784"/>
        <c:axId val="-192239152"/>
      </c:lineChart>
      <c:valAx>
        <c:axId val="-19223915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crossAx val="-192240784"/>
        <c:crosses val="autoZero"/>
        <c:crossBetween val="between"/>
      </c:valAx>
      <c:dateAx>
        <c:axId val="-1922407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crossAx val="-192239152"/>
        <c:crosses val="autoZero"/>
        <c:auto val="1"/>
        <c:lblOffset val="100"/>
        <c:baseTimeUnit val="days"/>
      </c:date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</c:spPr>
    </c:legend>
    <c:plotVisOnly val="1"/>
    <c:dispBlanksAs val="gap"/>
    <c:showDLblsOverMax val="0"/>
  </c:chart>
  <c:spPr>
    <a:ln w="9360">
      <a:solidFill>
        <a:srgbClr val="878787"/>
      </a:solidFill>
      <a:prstDash val="solid"/>
    </a:ln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1085" footer="0.3149606200000108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42503777936835E-2"/>
          <c:y val="4.4360119109535558E-2"/>
          <c:w val="0.90386113099498944"/>
          <c:h val="0.64953390133249811"/>
        </c:manualLayout>
      </c:layout>
      <c:lineChart>
        <c:grouping val="standard"/>
        <c:varyColors val="0"/>
        <c:ser>
          <c:idx val="0"/>
          <c:order val="0"/>
          <c:tx>
            <c:strRef>
              <c:f>'Spr2'!$C$1</c:f>
              <c:strCache>
                <c:ptCount val="1"/>
                <c:pt idx="0">
                  <c:v>Velocidade Ideal</c:v>
                </c:pt>
              </c:strCache>
            </c:strRef>
          </c:tx>
          <c:spPr>
            <a:ln w="28440">
              <a:solidFill>
                <a:srgbClr val="BE4B48"/>
              </a:solidFill>
            </a:ln>
          </c:spPr>
          <c:marker>
            <c:symbol val="none"/>
          </c:marker>
          <c:cat>
            <c:numRef>
              <c:f>'Spr2'!$A$2:$A$13</c:f>
              <c:numCache>
                <c:formatCode>m/d/yyyy</c:formatCode>
                <c:ptCount val="12"/>
                <c:pt idx="0">
                  <c:v>43962</c:v>
                </c:pt>
                <c:pt idx="1">
                  <c:v>43963</c:v>
                </c:pt>
                <c:pt idx="2">
                  <c:v>43964</c:v>
                </c:pt>
                <c:pt idx="3">
                  <c:v>43965</c:v>
                </c:pt>
                <c:pt idx="4">
                  <c:v>43966</c:v>
                </c:pt>
                <c:pt idx="5">
                  <c:v>43967</c:v>
                </c:pt>
                <c:pt idx="6">
                  <c:v>43968</c:v>
                </c:pt>
                <c:pt idx="7">
                  <c:v>43969</c:v>
                </c:pt>
                <c:pt idx="8">
                  <c:v>43970</c:v>
                </c:pt>
                <c:pt idx="9">
                  <c:v>43971</c:v>
                </c:pt>
                <c:pt idx="10">
                  <c:v>43972</c:v>
                </c:pt>
                <c:pt idx="11">
                  <c:v>43973</c:v>
                </c:pt>
              </c:numCache>
            </c:numRef>
          </c:cat>
          <c:val>
            <c:numRef>
              <c:f>'Spr2'!$C$2:$C$13</c:f>
              <c:numCache>
                <c:formatCode>General</c:formatCode>
                <c:ptCount val="12"/>
                <c:pt idx="0">
                  <c:v>32</c:v>
                </c:pt>
                <c:pt idx="1">
                  <c:v>28</c:v>
                </c:pt>
                <c:pt idx="2">
                  <c:v>24</c:v>
                </c:pt>
                <c:pt idx="3">
                  <c:v>20</c:v>
                </c:pt>
                <c:pt idx="4">
                  <c:v>16.666666666666668</c:v>
                </c:pt>
                <c:pt idx="5">
                  <c:v>16.666666666666668</c:v>
                </c:pt>
                <c:pt idx="6">
                  <c:v>16.666666666666668</c:v>
                </c:pt>
                <c:pt idx="7" formatCode="[$-416]General">
                  <c:v>33.333333333333336</c:v>
                </c:pt>
                <c:pt idx="8">
                  <c:v>25</c:v>
                </c:pt>
                <c:pt idx="9">
                  <c:v>16.666666666666664</c:v>
                </c:pt>
                <c:pt idx="10">
                  <c:v>8.3333333333333321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C-4BCD-970B-6C602FB45B33}"/>
            </c:ext>
          </c:extLst>
        </c:ser>
        <c:ser>
          <c:idx val="1"/>
          <c:order val="1"/>
          <c:tx>
            <c:strRef>
              <c:f>'Spr2'!$E$1</c:f>
              <c:strCache>
                <c:ptCount val="1"/>
                <c:pt idx="0">
                  <c:v>Velocidade da Sprint</c:v>
                </c:pt>
              </c:strCache>
            </c:strRef>
          </c:tx>
          <c:spPr>
            <a:ln>
              <a:solidFill>
                <a:srgbClr val="7D5FA0"/>
              </a:solidFill>
            </a:ln>
          </c:spPr>
          <c:marker>
            <c:symbol val="none"/>
          </c:marker>
          <c:cat>
            <c:numRef>
              <c:f>'Spr2'!$A$2:$A$13</c:f>
              <c:numCache>
                <c:formatCode>m/d/yyyy</c:formatCode>
                <c:ptCount val="12"/>
                <c:pt idx="0">
                  <c:v>43962</c:v>
                </c:pt>
                <c:pt idx="1">
                  <c:v>43963</c:v>
                </c:pt>
                <c:pt idx="2">
                  <c:v>43964</c:v>
                </c:pt>
                <c:pt idx="3">
                  <c:v>43965</c:v>
                </c:pt>
                <c:pt idx="4">
                  <c:v>43966</c:v>
                </c:pt>
                <c:pt idx="5">
                  <c:v>43967</c:v>
                </c:pt>
                <c:pt idx="6">
                  <c:v>43968</c:v>
                </c:pt>
                <c:pt idx="7">
                  <c:v>43969</c:v>
                </c:pt>
                <c:pt idx="8">
                  <c:v>43970</c:v>
                </c:pt>
                <c:pt idx="9">
                  <c:v>43971</c:v>
                </c:pt>
                <c:pt idx="10">
                  <c:v>43972</c:v>
                </c:pt>
                <c:pt idx="11">
                  <c:v>43973</c:v>
                </c:pt>
              </c:numCache>
            </c:numRef>
          </c:cat>
          <c:val>
            <c:numRef>
              <c:f>'Spr2'!$E$2:$E$13</c:f>
              <c:numCache>
                <c:formatCode>[$-416]General</c:formatCode>
                <c:ptCount val="12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28</c:v>
                </c:pt>
                <c:pt idx="8">
                  <c:v>20</c:v>
                </c:pt>
                <c:pt idx="9">
                  <c:v>17</c:v>
                </c:pt>
                <c:pt idx="10">
                  <c:v>14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9C-4BCD-970B-6C602FB45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2240784"/>
        <c:axId val="-192239152"/>
      </c:lineChart>
      <c:valAx>
        <c:axId val="-19223915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crossAx val="-192240784"/>
        <c:crosses val="autoZero"/>
        <c:crossBetween val="between"/>
      </c:valAx>
      <c:dateAx>
        <c:axId val="-1922407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</a:ln>
        </c:spPr>
        <c:crossAx val="-192239152"/>
        <c:crosses val="autoZero"/>
        <c:auto val="1"/>
        <c:lblOffset val="100"/>
        <c:baseTimeUnit val="days"/>
      </c:date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</c:spPr>
    </c:legend>
    <c:plotVisOnly val="1"/>
    <c:dispBlanksAs val="gap"/>
    <c:showDLblsOverMax val="0"/>
  </c:chart>
  <c:spPr>
    <a:ln w="9360">
      <a:solidFill>
        <a:srgbClr val="878787"/>
      </a:solidFill>
      <a:prstDash val="solid"/>
    </a:ln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1085" footer="0.3149606200000108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228600</xdr:colOff>
      <xdr:row>15</xdr:row>
      <xdr:rowOff>153368</xdr:rowOff>
    </xdr:from>
    <xdr:ext cx="4362449" cy="37003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E06DDDF-2119-4349-BB01-7F1677F8A7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228601</xdr:colOff>
      <xdr:row>15</xdr:row>
      <xdr:rowOff>185866</xdr:rowOff>
    </xdr:from>
    <xdr:ext cx="4362449" cy="37003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953FE3-6C7B-4F8F-85CD-54015AB9A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16</xdr:row>
      <xdr:rowOff>4892</xdr:rowOff>
    </xdr:from>
    <xdr:ext cx="3952874" cy="2938334"/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9CE23E-44FA-40FA-BD78-9EA4BEC259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180976</xdr:colOff>
      <xdr:row>16</xdr:row>
      <xdr:rowOff>4892</xdr:rowOff>
    </xdr:from>
    <xdr:ext cx="3952874" cy="2938334"/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B139E700-FCDB-4B74-913E-1EB828C22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5</xdr:col>
      <xdr:colOff>102577</xdr:colOff>
      <xdr:row>7</xdr:row>
      <xdr:rowOff>183173</xdr:rowOff>
    </xdr:from>
    <xdr:to>
      <xdr:col>6</xdr:col>
      <xdr:colOff>637443</xdr:colOff>
      <xdr:row>9</xdr:row>
      <xdr:rowOff>36635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3F262F73-EF2D-4D05-ACA2-1C673E6EC361}"/>
            </a:ext>
          </a:extLst>
        </xdr:cNvPr>
        <xdr:cNvSpPr/>
      </xdr:nvSpPr>
      <xdr:spPr>
        <a:xfrm>
          <a:off x="4255477" y="1516673"/>
          <a:ext cx="820616" cy="23446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9FF6F-CA07-4D12-887B-312812FB7264}">
  <dimension ref="A1:AMK38"/>
  <sheetViews>
    <sheetView showGridLines="0" tabSelected="1" zoomScaleNormal="100" workbookViewId="0">
      <selection activeCell="N32" sqref="N32"/>
    </sheetView>
  </sheetViews>
  <sheetFormatPr defaultColWidth="8.75" defaultRowHeight="15" x14ac:dyDescent="0.25"/>
  <cols>
    <col min="1" max="1" width="10" style="1" customWidth="1"/>
    <col min="2" max="2" width="5.25" style="1" customWidth="1"/>
    <col min="3" max="3" width="12" style="1" bestFit="1" customWidth="1"/>
    <col min="4" max="4" width="12.25" style="1" bestFit="1" customWidth="1"/>
    <col min="5" max="5" width="15" style="1" bestFit="1" customWidth="1"/>
    <col min="6" max="6" width="7.625" style="1" customWidth="1"/>
    <col min="7" max="7" width="10.5" style="1" customWidth="1"/>
    <col min="8" max="8" width="11.875" style="1" customWidth="1"/>
    <col min="9" max="9" width="2.125" style="1" customWidth="1"/>
    <col min="10" max="10" width="10" style="1" customWidth="1"/>
    <col min="11" max="11" width="10.875" style="1" customWidth="1"/>
    <col min="12" max="12" width="12.625" style="1" customWidth="1"/>
    <col min="13" max="13" width="14.875" style="1" customWidth="1"/>
    <col min="14" max="14" width="13.375" style="1" customWidth="1"/>
    <col min="15" max="15" width="9.25" style="1" customWidth="1"/>
    <col min="16" max="17" width="10" style="1" customWidth="1"/>
    <col min="18" max="1025" width="8.125" style="1" customWidth="1"/>
  </cols>
  <sheetData>
    <row r="1" spans="1:15" x14ac:dyDescent="0.25">
      <c r="A1" s="4" t="s">
        <v>0</v>
      </c>
      <c r="B1" s="4" t="s">
        <v>1</v>
      </c>
      <c r="C1" s="9" t="s">
        <v>2</v>
      </c>
      <c r="D1" s="4" t="s">
        <v>3</v>
      </c>
      <c r="E1" s="4" t="s">
        <v>4</v>
      </c>
    </row>
    <row r="2" spans="1:15" x14ac:dyDescent="0.25">
      <c r="A2" s="40">
        <v>44109</v>
      </c>
      <c r="B2" s="6">
        <v>9</v>
      </c>
      <c r="C2" s="7">
        <v>157</v>
      </c>
      <c r="D2" s="7">
        <v>73</v>
      </c>
      <c r="E2" s="8">
        <f>C$2-SUM(D$2:D2)</f>
        <v>84</v>
      </c>
      <c r="G2" s="27" t="s">
        <v>28</v>
      </c>
      <c r="H2" s="17" t="s">
        <v>29</v>
      </c>
      <c r="J2" s="22" t="s">
        <v>7</v>
      </c>
      <c r="K2" s="22" t="s">
        <v>6</v>
      </c>
      <c r="L2" s="22" t="s">
        <v>8</v>
      </c>
      <c r="M2" s="22" t="s">
        <v>9</v>
      </c>
      <c r="N2" s="29" t="s">
        <v>10</v>
      </c>
    </row>
    <row r="3" spans="1:15" x14ac:dyDescent="0.25">
      <c r="A3" s="5">
        <v>44110</v>
      </c>
      <c r="B3" s="6">
        <v>8</v>
      </c>
      <c r="C3" s="7">
        <f>C2-(C2/B3)</f>
        <v>137.375</v>
      </c>
      <c r="D3" s="7">
        <v>3</v>
      </c>
      <c r="E3" s="8">
        <f>C$2-SUM(D$2:D3)</f>
        <v>81</v>
      </c>
      <c r="G3" s="17" t="s">
        <v>30</v>
      </c>
      <c r="J3" s="39">
        <v>7718</v>
      </c>
      <c r="K3" s="39">
        <v>3</v>
      </c>
      <c r="L3" s="30">
        <v>44096</v>
      </c>
      <c r="M3" s="32" t="s">
        <v>13</v>
      </c>
      <c r="N3" s="28"/>
      <c r="O3" s="36"/>
    </row>
    <row r="4" spans="1:15" x14ac:dyDescent="0.25">
      <c r="A4" s="5">
        <v>44111</v>
      </c>
      <c r="B4" s="6">
        <v>7</v>
      </c>
      <c r="C4" s="7">
        <f t="shared" ref="C4:C13" si="0">C3-(C3/B4)</f>
        <v>117.75</v>
      </c>
      <c r="D4" s="7">
        <v>34</v>
      </c>
      <c r="E4" s="8">
        <f>C$2-SUM(D$2:D4)</f>
        <v>47</v>
      </c>
      <c r="J4" s="39">
        <v>7713</v>
      </c>
      <c r="K4" s="39">
        <v>13</v>
      </c>
      <c r="L4" s="30">
        <v>44106</v>
      </c>
      <c r="M4" s="32" t="s">
        <v>13</v>
      </c>
      <c r="N4" s="28"/>
      <c r="O4" s="36"/>
    </row>
    <row r="5" spans="1:15" x14ac:dyDescent="0.25">
      <c r="A5" s="5">
        <v>44112</v>
      </c>
      <c r="B5" s="6">
        <v>6</v>
      </c>
      <c r="C5" s="7">
        <f t="shared" si="0"/>
        <v>98.125</v>
      </c>
      <c r="D5" s="7">
        <v>0</v>
      </c>
      <c r="E5" s="8">
        <f>C$2-SUM(D$2:D5)</f>
        <v>47</v>
      </c>
      <c r="J5" s="39">
        <v>7714</v>
      </c>
      <c r="K5" s="39">
        <v>3</v>
      </c>
      <c r="L5" s="30">
        <v>44100</v>
      </c>
      <c r="M5" s="32" t="s">
        <v>13</v>
      </c>
      <c r="N5" s="28"/>
      <c r="O5" s="36"/>
    </row>
    <row r="6" spans="1:15" x14ac:dyDescent="0.25">
      <c r="A6" s="5">
        <v>44113</v>
      </c>
      <c r="B6" s="6">
        <v>5</v>
      </c>
      <c r="C6" s="7">
        <f>C5</f>
        <v>98.125</v>
      </c>
      <c r="D6" s="7">
        <v>21</v>
      </c>
      <c r="E6" s="8">
        <f>C$2-SUM(D$2:D6)</f>
        <v>26</v>
      </c>
      <c r="J6" s="39">
        <v>7715</v>
      </c>
      <c r="K6" s="39">
        <v>8</v>
      </c>
      <c r="L6" s="30">
        <v>44103</v>
      </c>
      <c r="M6" s="32" t="s">
        <v>13</v>
      </c>
      <c r="N6" s="28"/>
      <c r="O6" s="36"/>
    </row>
    <row r="7" spans="1:15" x14ac:dyDescent="0.25">
      <c r="A7" s="12">
        <v>44114</v>
      </c>
      <c r="B7" s="13">
        <v>5</v>
      </c>
      <c r="C7" s="13">
        <f>C6</f>
        <v>98.125</v>
      </c>
      <c r="D7" s="13">
        <v>0</v>
      </c>
      <c r="E7" s="15">
        <f>C$2-SUM(D$2:D7)</f>
        <v>26</v>
      </c>
      <c r="J7" s="39">
        <v>7888</v>
      </c>
      <c r="K7" s="39">
        <v>8</v>
      </c>
      <c r="L7" s="30">
        <v>44103</v>
      </c>
      <c r="M7" s="32" t="s">
        <v>13</v>
      </c>
      <c r="N7" s="28"/>
      <c r="O7" s="36"/>
    </row>
    <row r="8" spans="1:15" x14ac:dyDescent="0.25">
      <c r="A8" s="12">
        <v>44115</v>
      </c>
      <c r="B8" s="13">
        <v>5</v>
      </c>
      <c r="C8" s="13">
        <f>C7</f>
        <v>98.125</v>
      </c>
      <c r="D8" s="13">
        <v>0</v>
      </c>
      <c r="E8" s="15">
        <f>C$2-SUM(D$2:D8)</f>
        <v>26</v>
      </c>
      <c r="J8" s="39">
        <v>7716</v>
      </c>
      <c r="K8" s="39">
        <v>3</v>
      </c>
      <c r="L8" s="30">
        <v>44096</v>
      </c>
      <c r="M8" s="32" t="s">
        <v>13</v>
      </c>
      <c r="N8" s="28"/>
      <c r="O8" s="36"/>
    </row>
    <row r="9" spans="1:15" x14ac:dyDescent="0.25">
      <c r="A9" s="12">
        <v>44116</v>
      </c>
      <c r="B9" s="13">
        <v>5</v>
      </c>
      <c r="C9" s="13">
        <f>C8</f>
        <v>98.125</v>
      </c>
      <c r="D9" s="13">
        <v>0</v>
      </c>
      <c r="E9" s="15">
        <f>C$2-SUM(D$2:D9)</f>
        <v>26</v>
      </c>
      <c r="J9" s="39">
        <v>7869</v>
      </c>
      <c r="K9" s="39">
        <v>1</v>
      </c>
      <c r="L9" s="30">
        <v>44097</v>
      </c>
      <c r="M9" s="32" t="s">
        <v>13</v>
      </c>
      <c r="N9" s="28"/>
      <c r="O9" s="36"/>
    </row>
    <row r="10" spans="1:15" x14ac:dyDescent="0.25">
      <c r="A10" s="5">
        <v>44117</v>
      </c>
      <c r="B10" s="6">
        <v>4</v>
      </c>
      <c r="C10" s="7">
        <f>C9-(C9/B10)+13</f>
        <v>86.59375</v>
      </c>
      <c r="D10" s="7">
        <v>13</v>
      </c>
      <c r="E10" s="8">
        <f>C$2-SUM(D$2:D10)+13</f>
        <v>26</v>
      </c>
      <c r="G10" s="17" t="s">
        <v>31</v>
      </c>
      <c r="J10" s="39">
        <v>7725</v>
      </c>
      <c r="K10" s="39">
        <v>1</v>
      </c>
      <c r="L10" s="30">
        <v>44099</v>
      </c>
      <c r="M10" s="32" t="s">
        <v>13</v>
      </c>
      <c r="N10" s="28"/>
      <c r="O10" s="36"/>
    </row>
    <row r="11" spans="1:15" x14ac:dyDescent="0.25">
      <c r="A11" s="5">
        <v>44118</v>
      </c>
      <c r="B11" s="6">
        <v>3</v>
      </c>
      <c r="C11" s="7">
        <f>C10-(C10/B11)</f>
        <v>57.729166666666671</v>
      </c>
      <c r="D11" s="7">
        <v>0</v>
      </c>
      <c r="E11" s="8">
        <f>C$2-SUM(D$2:D11)+13</f>
        <v>26</v>
      </c>
      <c r="J11" s="39">
        <v>7728</v>
      </c>
      <c r="K11" s="39">
        <v>3</v>
      </c>
      <c r="L11" s="30">
        <v>44110</v>
      </c>
      <c r="M11" s="32" t="s">
        <v>13</v>
      </c>
      <c r="N11" s="28"/>
      <c r="O11" s="36"/>
    </row>
    <row r="12" spans="1:15" x14ac:dyDescent="0.25">
      <c r="A12" s="5">
        <v>44119</v>
      </c>
      <c r="B12" s="6">
        <v>2</v>
      </c>
      <c r="C12" s="7">
        <f t="shared" si="0"/>
        <v>28.864583333333336</v>
      </c>
      <c r="D12" s="7">
        <v>26</v>
      </c>
      <c r="E12" s="8">
        <f>C$2-SUM(D$2:D12)+13</f>
        <v>0</v>
      </c>
      <c r="J12" s="39">
        <v>7717</v>
      </c>
      <c r="K12" s="39">
        <v>13</v>
      </c>
      <c r="L12" s="30">
        <v>44113</v>
      </c>
      <c r="M12" s="32" t="s">
        <v>13</v>
      </c>
      <c r="N12" s="28"/>
      <c r="O12" s="36"/>
    </row>
    <row r="13" spans="1:15" x14ac:dyDescent="0.25">
      <c r="A13" s="5">
        <v>44120</v>
      </c>
      <c r="B13" s="6">
        <v>1</v>
      </c>
      <c r="C13" s="7">
        <f t="shared" si="0"/>
        <v>0</v>
      </c>
      <c r="D13" s="7">
        <v>0</v>
      </c>
      <c r="E13" s="8">
        <f>C$2-SUM(D$2:D13)+13</f>
        <v>0</v>
      </c>
      <c r="J13" s="39">
        <v>7805</v>
      </c>
      <c r="K13" s="39">
        <v>1</v>
      </c>
      <c r="L13" s="30">
        <v>44100</v>
      </c>
      <c r="M13" s="32" t="s">
        <v>13</v>
      </c>
      <c r="N13" s="28"/>
      <c r="O13" s="36"/>
    </row>
    <row r="14" spans="1:15" x14ac:dyDescent="0.25">
      <c r="A14" s="2"/>
      <c r="J14" s="39">
        <v>7719</v>
      </c>
      <c r="K14" s="39">
        <v>8</v>
      </c>
      <c r="L14" s="30">
        <v>44113</v>
      </c>
      <c r="M14" s="32" t="s">
        <v>13</v>
      </c>
      <c r="N14" s="28"/>
      <c r="O14" s="36"/>
    </row>
    <row r="15" spans="1:15" x14ac:dyDescent="0.25">
      <c r="A15" s="44" t="s">
        <v>5</v>
      </c>
      <c r="B15" s="44"/>
      <c r="C15" s="3">
        <f>C2/(B2)</f>
        <v>17.444444444444443</v>
      </c>
      <c r="J15" s="39">
        <v>7720</v>
      </c>
      <c r="K15" s="39">
        <v>1</v>
      </c>
      <c r="L15" s="30">
        <v>44097</v>
      </c>
      <c r="M15" s="32" t="s">
        <v>13</v>
      </c>
      <c r="N15" s="28"/>
      <c r="O15" s="36"/>
    </row>
    <row r="16" spans="1:15" x14ac:dyDescent="0.25">
      <c r="D16" s="36"/>
      <c r="E16" s="41"/>
      <c r="F16" s="36"/>
      <c r="G16" s="36"/>
      <c r="H16" s="36"/>
      <c r="J16" s="39">
        <v>7721</v>
      </c>
      <c r="K16" s="39">
        <v>8</v>
      </c>
      <c r="L16" s="30">
        <v>44103</v>
      </c>
      <c r="M16" s="32" t="s">
        <v>13</v>
      </c>
      <c r="N16" s="28"/>
      <c r="O16" s="36"/>
    </row>
    <row r="17" spans="10:15" x14ac:dyDescent="0.25">
      <c r="J17" s="39">
        <v>7722</v>
      </c>
      <c r="K17" s="39">
        <v>13</v>
      </c>
      <c r="L17" s="30">
        <v>44105</v>
      </c>
      <c r="M17" s="32" t="s">
        <v>13</v>
      </c>
      <c r="N17" s="28"/>
      <c r="O17" s="36"/>
    </row>
    <row r="18" spans="10:15" ht="13.5" customHeight="1" x14ac:dyDescent="0.25">
      <c r="J18" s="43">
        <v>7814</v>
      </c>
      <c r="K18" s="39">
        <v>13</v>
      </c>
      <c r="L18" s="30">
        <v>44119</v>
      </c>
      <c r="M18" s="32" t="s">
        <v>13</v>
      </c>
      <c r="N18" s="28"/>
      <c r="O18" s="36"/>
    </row>
    <row r="19" spans="10:15" x14ac:dyDescent="0.25">
      <c r="J19" s="43">
        <v>7723</v>
      </c>
      <c r="K19" s="39">
        <v>13</v>
      </c>
      <c r="L19" s="30">
        <v>44119</v>
      </c>
      <c r="M19" s="32" t="s">
        <v>13</v>
      </c>
      <c r="N19" s="28"/>
      <c r="O19" s="36"/>
    </row>
    <row r="20" spans="10:15" x14ac:dyDescent="0.25">
      <c r="J20" s="39">
        <v>7724</v>
      </c>
      <c r="K20" s="39">
        <v>13</v>
      </c>
      <c r="L20" s="30">
        <v>44111</v>
      </c>
      <c r="M20" s="32" t="s">
        <v>13</v>
      </c>
      <c r="N20" s="28"/>
      <c r="O20" s="36"/>
    </row>
    <row r="21" spans="10:15" x14ac:dyDescent="0.25">
      <c r="J21" s="39">
        <v>7726</v>
      </c>
      <c r="K21" s="39">
        <v>1</v>
      </c>
      <c r="L21" s="30">
        <v>44097</v>
      </c>
      <c r="M21" s="32" t="s">
        <v>13</v>
      </c>
      <c r="N21" s="28"/>
      <c r="O21" s="36"/>
    </row>
    <row r="22" spans="10:15" x14ac:dyDescent="0.25">
      <c r="J22" s="39">
        <v>7727</v>
      </c>
      <c r="K22" s="39">
        <v>21</v>
      </c>
      <c r="L22" s="30">
        <v>44111</v>
      </c>
      <c r="M22" s="32" t="s">
        <v>13</v>
      </c>
      <c r="N22" s="28"/>
      <c r="O22" s="36"/>
    </row>
    <row r="23" spans="10:15" x14ac:dyDescent="0.25">
      <c r="J23" s="39">
        <v>7889</v>
      </c>
      <c r="K23" s="39">
        <v>1</v>
      </c>
      <c r="L23" s="30">
        <v>44100</v>
      </c>
      <c r="M23" s="32" t="s">
        <v>13</v>
      </c>
      <c r="N23" s="28"/>
      <c r="O23" s="36"/>
    </row>
    <row r="24" spans="10:15" x14ac:dyDescent="0.25">
      <c r="J24" s="39">
        <v>7890</v>
      </c>
      <c r="K24" s="39">
        <v>8</v>
      </c>
      <c r="L24" s="30">
        <v>44105</v>
      </c>
      <c r="M24" s="32" t="s">
        <v>13</v>
      </c>
      <c r="N24" s="28"/>
      <c r="O24" s="36"/>
    </row>
    <row r="25" spans="10:15" x14ac:dyDescent="0.25">
      <c r="J25" s="42">
        <v>8866</v>
      </c>
      <c r="K25" s="42">
        <v>13</v>
      </c>
      <c r="L25" s="30">
        <v>44117</v>
      </c>
      <c r="M25" s="32" t="s">
        <v>13</v>
      </c>
      <c r="N25" s="30">
        <v>44117</v>
      </c>
      <c r="O25" s="36"/>
    </row>
    <row r="26" spans="10:15" x14ac:dyDescent="0.25">
      <c r="K26" s="17">
        <f>SUM(K3:K25)</f>
        <v>170</v>
      </c>
    </row>
    <row r="38" ht="9.75" customHeight="1" x14ac:dyDescent="0.25"/>
  </sheetData>
  <mergeCells count="1">
    <mergeCell ref="A15:B1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6C92-58AC-4E35-A33F-F1F48669B4F6}">
  <dimension ref="A1:AMK38"/>
  <sheetViews>
    <sheetView showGridLines="0" workbookViewId="0"/>
  </sheetViews>
  <sheetFormatPr defaultColWidth="8.75" defaultRowHeight="15" x14ac:dyDescent="0.25"/>
  <cols>
    <col min="1" max="1" width="10" style="1" customWidth="1"/>
    <col min="2" max="2" width="5.25" style="1" customWidth="1"/>
    <col min="3" max="3" width="12" style="1" bestFit="1" customWidth="1"/>
    <col min="4" max="4" width="12.25" style="1" bestFit="1" customWidth="1"/>
    <col min="5" max="5" width="15" style="1" bestFit="1" customWidth="1"/>
    <col min="6" max="6" width="7.625" style="1" customWidth="1"/>
    <col min="7" max="7" width="10" style="1" customWidth="1"/>
    <col min="8" max="8" width="11.875" style="1" customWidth="1"/>
    <col min="9" max="9" width="2.125" style="1" customWidth="1"/>
    <col min="10" max="10" width="10" style="1" customWidth="1"/>
    <col min="11" max="11" width="10.875" style="1" customWidth="1"/>
    <col min="12" max="12" width="12.625" style="1" customWidth="1"/>
    <col min="13" max="13" width="14.5" style="1" customWidth="1"/>
    <col min="14" max="14" width="15.5" style="1" customWidth="1"/>
    <col min="15" max="15" width="15.25" style="1" bestFit="1" customWidth="1"/>
    <col min="16" max="17" width="10" style="1" customWidth="1"/>
    <col min="18" max="1025" width="8.125" style="1" customWidth="1"/>
  </cols>
  <sheetData>
    <row r="1" spans="1:15" x14ac:dyDescent="0.25">
      <c r="A1" s="4" t="s">
        <v>0</v>
      </c>
      <c r="B1" s="4" t="s">
        <v>1</v>
      </c>
      <c r="C1" s="9" t="s">
        <v>2</v>
      </c>
      <c r="D1" s="4" t="s">
        <v>3</v>
      </c>
      <c r="E1" s="4" t="s">
        <v>4</v>
      </c>
    </row>
    <row r="2" spans="1:15" x14ac:dyDescent="0.25">
      <c r="A2" s="5">
        <v>44053</v>
      </c>
      <c r="B2" s="6">
        <v>10</v>
      </c>
      <c r="C2" s="7">
        <v>87</v>
      </c>
      <c r="D2" s="7">
        <v>3</v>
      </c>
      <c r="E2" s="8">
        <f>C$2-SUM(D$2:D2)</f>
        <v>84</v>
      </c>
      <c r="G2" s="27" t="s">
        <v>15</v>
      </c>
      <c r="H2" s="17" t="s">
        <v>14</v>
      </c>
      <c r="J2" s="22" t="s">
        <v>7</v>
      </c>
      <c r="K2" s="22" t="s">
        <v>6</v>
      </c>
      <c r="L2" s="22" t="s">
        <v>8</v>
      </c>
      <c r="M2" s="22" t="s">
        <v>9</v>
      </c>
      <c r="N2" s="29" t="s">
        <v>10</v>
      </c>
    </row>
    <row r="3" spans="1:15" x14ac:dyDescent="0.25">
      <c r="A3" s="5">
        <v>44054</v>
      </c>
      <c r="B3" s="6">
        <v>9</v>
      </c>
      <c r="C3" s="7">
        <f>C2-(C2/B3)</f>
        <v>77.333333333333329</v>
      </c>
      <c r="D3" s="7">
        <v>8</v>
      </c>
      <c r="E3" s="8">
        <f>C$2-SUM(D$2:D3)</f>
        <v>76</v>
      </c>
      <c r="G3" s="17" t="s">
        <v>16</v>
      </c>
      <c r="J3" s="24">
        <v>6954</v>
      </c>
      <c r="K3" s="24">
        <v>8</v>
      </c>
      <c r="L3" s="30">
        <v>44054</v>
      </c>
      <c r="M3" s="32" t="s">
        <v>13</v>
      </c>
      <c r="N3" s="28"/>
      <c r="O3" s="31"/>
    </row>
    <row r="4" spans="1:15" x14ac:dyDescent="0.25">
      <c r="A4" s="5">
        <v>44055</v>
      </c>
      <c r="B4" s="6">
        <v>8</v>
      </c>
      <c r="C4" s="7">
        <f t="shared" ref="C4:C13" si="0">C3-(C3/B4)</f>
        <v>67.666666666666657</v>
      </c>
      <c r="D4" s="7">
        <v>0</v>
      </c>
      <c r="E4" s="8">
        <f>C$2-SUM(D$2:D4)</f>
        <v>76</v>
      </c>
      <c r="J4" s="24">
        <v>6955</v>
      </c>
      <c r="K4" s="24">
        <v>8</v>
      </c>
      <c r="L4" s="30">
        <v>44060</v>
      </c>
      <c r="M4" s="32" t="s">
        <v>13</v>
      </c>
      <c r="N4" s="28"/>
      <c r="O4" s="31"/>
    </row>
    <row r="5" spans="1:15" x14ac:dyDescent="0.25">
      <c r="A5" s="5">
        <v>44056</v>
      </c>
      <c r="B5" s="6">
        <v>7</v>
      </c>
      <c r="C5" s="7">
        <f t="shared" si="0"/>
        <v>57.999999999999993</v>
      </c>
      <c r="D5" s="7">
        <v>0</v>
      </c>
      <c r="E5" s="8">
        <f>C$2-SUM(D$2:D5)</f>
        <v>76</v>
      </c>
      <c r="J5" s="24">
        <v>6956</v>
      </c>
      <c r="K5" s="24">
        <v>8</v>
      </c>
      <c r="L5" s="30">
        <v>44061</v>
      </c>
      <c r="M5" s="32" t="s">
        <v>13</v>
      </c>
      <c r="N5" s="28"/>
      <c r="O5" s="31"/>
    </row>
    <row r="6" spans="1:15" x14ac:dyDescent="0.25">
      <c r="A6" s="5">
        <v>44057</v>
      </c>
      <c r="B6" s="20">
        <v>6</v>
      </c>
      <c r="C6" s="7">
        <f t="shared" si="0"/>
        <v>48.333333333333329</v>
      </c>
      <c r="D6" s="7">
        <v>0</v>
      </c>
      <c r="E6" s="8">
        <f>C$2-SUM(D$2:D6)</f>
        <v>76</v>
      </c>
      <c r="J6" s="24">
        <v>6957</v>
      </c>
      <c r="K6" s="24">
        <v>13</v>
      </c>
      <c r="L6" s="30">
        <v>44061</v>
      </c>
      <c r="M6" s="32" t="s">
        <v>13</v>
      </c>
      <c r="N6" s="28"/>
      <c r="O6" s="31"/>
    </row>
    <row r="7" spans="1:15" x14ac:dyDescent="0.25">
      <c r="A7" s="12">
        <v>44058</v>
      </c>
      <c r="B7" s="13">
        <v>6</v>
      </c>
      <c r="C7" s="13">
        <f>C6</f>
        <v>48.333333333333329</v>
      </c>
      <c r="D7" s="13">
        <v>0</v>
      </c>
      <c r="E7" s="15">
        <f>C$2-SUM(D$2:D7)</f>
        <v>76</v>
      </c>
      <c r="J7" s="24">
        <v>5900</v>
      </c>
      <c r="K7" s="24">
        <v>13</v>
      </c>
      <c r="L7" s="30">
        <v>44061</v>
      </c>
      <c r="M7" s="32" t="s">
        <v>13</v>
      </c>
      <c r="N7" s="28"/>
    </row>
    <row r="8" spans="1:15" x14ac:dyDescent="0.25">
      <c r="A8" s="12">
        <v>44059</v>
      </c>
      <c r="B8" s="13">
        <v>6</v>
      </c>
      <c r="C8" s="13">
        <f>C7</f>
        <v>48.333333333333329</v>
      </c>
      <c r="D8" s="13">
        <v>0</v>
      </c>
      <c r="E8" s="15">
        <f>C$2-SUM(D$2:D8)</f>
        <v>76</v>
      </c>
      <c r="J8" s="24">
        <v>5910</v>
      </c>
      <c r="K8" s="24">
        <v>13</v>
      </c>
      <c r="L8" s="30">
        <v>44061</v>
      </c>
      <c r="M8" s="32" t="s">
        <v>13</v>
      </c>
      <c r="N8" s="28"/>
      <c r="O8" s="31"/>
    </row>
    <row r="9" spans="1:15" x14ac:dyDescent="0.25">
      <c r="A9" s="5">
        <v>44060</v>
      </c>
      <c r="B9" s="6">
        <v>5</v>
      </c>
      <c r="C9" s="7">
        <f t="shared" si="0"/>
        <v>38.666666666666664</v>
      </c>
      <c r="D9" s="7">
        <v>8</v>
      </c>
      <c r="E9" s="8">
        <f>C$2-SUM(D$2:D9)</f>
        <v>68</v>
      </c>
      <c r="J9" s="24">
        <v>6140</v>
      </c>
      <c r="K9" s="24">
        <v>3</v>
      </c>
      <c r="L9" s="30">
        <v>44050</v>
      </c>
      <c r="M9" s="32" t="s">
        <v>13</v>
      </c>
      <c r="N9" s="28"/>
    </row>
    <row r="10" spans="1:15" x14ac:dyDescent="0.25">
      <c r="A10" s="5">
        <v>44061</v>
      </c>
      <c r="B10" s="6">
        <v>4</v>
      </c>
      <c r="C10" s="7">
        <f t="shared" si="0"/>
        <v>29</v>
      </c>
      <c r="D10" s="7">
        <v>47</v>
      </c>
      <c r="E10" s="8">
        <f>C$2-SUM(D$2:D10)</f>
        <v>21</v>
      </c>
      <c r="J10" s="24">
        <v>6141</v>
      </c>
      <c r="K10" s="24">
        <v>8</v>
      </c>
      <c r="L10" s="30">
        <v>44062</v>
      </c>
      <c r="M10" s="32" t="s">
        <v>13</v>
      </c>
      <c r="N10" s="28"/>
    </row>
    <row r="11" spans="1:15" x14ac:dyDescent="0.25">
      <c r="A11" s="5">
        <v>44062</v>
      </c>
      <c r="B11" s="6">
        <v>3</v>
      </c>
      <c r="C11" s="7">
        <f t="shared" si="0"/>
        <v>19.333333333333336</v>
      </c>
      <c r="D11" s="7">
        <v>21</v>
      </c>
      <c r="E11" s="8">
        <f>C$2-SUM(D$2:D11)</f>
        <v>0</v>
      </c>
      <c r="J11" s="24">
        <v>6155</v>
      </c>
      <c r="K11" s="24">
        <v>5</v>
      </c>
      <c r="L11" s="30">
        <v>44062</v>
      </c>
      <c r="M11" s="32" t="s">
        <v>13</v>
      </c>
      <c r="N11" s="28"/>
    </row>
    <row r="12" spans="1:15" x14ac:dyDescent="0.25">
      <c r="A12" s="5">
        <v>44063</v>
      </c>
      <c r="B12" s="6">
        <v>2</v>
      </c>
      <c r="C12" s="7">
        <f t="shared" si="0"/>
        <v>9.6666666666666679</v>
      </c>
      <c r="D12" s="7">
        <v>0</v>
      </c>
      <c r="E12" s="8">
        <f>C$2-SUM(D$2:D12)</f>
        <v>0</v>
      </c>
      <c r="J12" s="24">
        <v>6958</v>
      </c>
      <c r="K12" s="24">
        <v>8</v>
      </c>
      <c r="L12" s="30">
        <v>44062</v>
      </c>
      <c r="M12" s="32" t="s">
        <v>13</v>
      </c>
      <c r="N12" s="28"/>
    </row>
    <row r="13" spans="1:15" x14ac:dyDescent="0.25">
      <c r="A13" s="5">
        <v>44064</v>
      </c>
      <c r="B13" s="6">
        <v>1</v>
      </c>
      <c r="C13" s="7">
        <f t="shared" si="0"/>
        <v>0</v>
      </c>
      <c r="D13" s="7">
        <v>0</v>
      </c>
      <c r="E13" s="8">
        <f>C$2-SUM(D$2:D13)</f>
        <v>0</v>
      </c>
      <c r="K13" s="17">
        <f>SUM(K3:K12)</f>
        <v>87</v>
      </c>
    </row>
    <row r="14" spans="1:15" x14ac:dyDescent="0.25">
      <c r="A14" s="2"/>
    </row>
    <row r="15" spans="1:15" x14ac:dyDescent="0.25">
      <c r="A15" s="44" t="s">
        <v>5</v>
      </c>
      <c r="B15" s="44"/>
      <c r="C15" s="3">
        <f>C2/(B2)</f>
        <v>8.6999999999999993</v>
      </c>
    </row>
    <row r="38" ht="9.75" customHeight="1" x14ac:dyDescent="0.25"/>
  </sheetData>
  <mergeCells count="1"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1DB1-5D1B-4D86-88ED-F75A9A10451B}">
  <dimension ref="A1:AMH38"/>
  <sheetViews>
    <sheetView showGridLines="0" workbookViewId="0">
      <selection activeCell="H20" sqref="H20"/>
    </sheetView>
  </sheetViews>
  <sheetFormatPr defaultColWidth="8.75" defaultRowHeight="15" x14ac:dyDescent="0.25"/>
  <cols>
    <col min="1" max="1" width="10" style="1" customWidth="1"/>
    <col min="2" max="2" width="5.25" style="1" customWidth="1"/>
    <col min="3" max="3" width="12" style="1" bestFit="1" customWidth="1"/>
    <col min="4" max="4" width="12.25" style="1" bestFit="1" customWidth="1"/>
    <col min="5" max="5" width="15" style="1" bestFit="1" customWidth="1"/>
    <col min="6" max="6" width="3.75" style="1" customWidth="1"/>
    <col min="7" max="7" width="13.5" style="1" customWidth="1"/>
    <col min="8" max="8" width="13.75" style="1" customWidth="1"/>
    <col min="9" max="9" width="3" style="1" customWidth="1"/>
    <col min="10" max="10" width="1.625" style="1" customWidth="1"/>
    <col min="11" max="12" width="10" style="1" customWidth="1"/>
    <col min="13" max="13" width="13.5" style="1" bestFit="1" customWidth="1"/>
    <col min="14" max="14" width="16.75" style="1" customWidth="1"/>
    <col min="15" max="15" width="20.25" style="1" customWidth="1"/>
    <col min="16" max="1022" width="8.125" style="1" customWidth="1"/>
  </cols>
  <sheetData>
    <row r="1" spans="1:15" x14ac:dyDescent="0.25">
      <c r="A1" s="4" t="s">
        <v>0</v>
      </c>
      <c r="B1" s="4" t="s">
        <v>1</v>
      </c>
      <c r="C1" s="9" t="s">
        <v>2</v>
      </c>
      <c r="D1" s="4" t="s">
        <v>3</v>
      </c>
      <c r="E1" s="4" t="s">
        <v>4</v>
      </c>
      <c r="G1" s="27" t="s">
        <v>27</v>
      </c>
      <c r="H1" s="17" t="s">
        <v>12</v>
      </c>
    </row>
    <row r="2" spans="1:15" x14ac:dyDescent="0.25">
      <c r="A2" s="5">
        <v>44004</v>
      </c>
      <c r="B2" s="6">
        <v>10</v>
      </c>
      <c r="C2" s="10">
        <v>32</v>
      </c>
      <c r="D2" s="7">
        <v>0</v>
      </c>
      <c r="E2" s="8">
        <f>C$2-SUM(D$2:D2)</f>
        <v>32</v>
      </c>
      <c r="G2" s="17" t="s">
        <v>19</v>
      </c>
    </row>
    <row r="3" spans="1:15" x14ac:dyDescent="0.25">
      <c r="A3" s="5">
        <v>44005</v>
      </c>
      <c r="B3" s="6">
        <v>9</v>
      </c>
      <c r="C3" s="10">
        <f t="shared" ref="C3:C13" si="0">C2-(C2/B3)</f>
        <v>28.444444444444443</v>
      </c>
      <c r="D3" s="7">
        <v>8</v>
      </c>
      <c r="E3" s="8">
        <f>C$2-SUM(D$2:D3)</f>
        <v>24</v>
      </c>
      <c r="K3" s="38" t="s">
        <v>7</v>
      </c>
      <c r="L3" s="38" t="s">
        <v>6</v>
      </c>
      <c r="M3" s="38" t="s">
        <v>8</v>
      </c>
      <c r="N3" s="38" t="s">
        <v>9</v>
      </c>
      <c r="O3" s="38" t="s">
        <v>10</v>
      </c>
    </row>
    <row r="4" spans="1:15" x14ac:dyDescent="0.25">
      <c r="A4" s="5">
        <v>44006</v>
      </c>
      <c r="B4" s="6">
        <v>8</v>
      </c>
      <c r="C4" s="10">
        <f t="shared" si="0"/>
        <v>24.888888888888886</v>
      </c>
      <c r="D4" s="7">
        <v>0</v>
      </c>
      <c r="E4" s="8">
        <f>C$2-SUM(D$2:D4)</f>
        <v>24</v>
      </c>
      <c r="K4" s="25">
        <v>3942</v>
      </c>
      <c r="L4" s="25">
        <v>13</v>
      </c>
      <c r="M4" s="30">
        <v>44008</v>
      </c>
      <c r="N4" s="26" t="s">
        <v>11</v>
      </c>
      <c r="O4" s="28"/>
    </row>
    <row r="5" spans="1:15" x14ac:dyDescent="0.25">
      <c r="A5" s="5">
        <v>44007</v>
      </c>
      <c r="B5" s="6">
        <v>7</v>
      </c>
      <c r="C5" s="10">
        <f t="shared" si="0"/>
        <v>21.333333333333332</v>
      </c>
      <c r="D5" s="7">
        <v>0</v>
      </c>
      <c r="E5" s="8">
        <f>C$2-SUM(D$2:D5)</f>
        <v>24</v>
      </c>
      <c r="K5" s="25">
        <v>5850</v>
      </c>
      <c r="L5" s="25">
        <v>8</v>
      </c>
      <c r="M5" s="30">
        <v>44014</v>
      </c>
      <c r="N5" s="26" t="s">
        <v>11</v>
      </c>
      <c r="O5" s="28"/>
    </row>
    <row r="6" spans="1:15" x14ac:dyDescent="0.25">
      <c r="A6" s="5">
        <v>44008</v>
      </c>
      <c r="B6" s="6">
        <v>6</v>
      </c>
      <c r="C6" s="11">
        <f>C5-(C5/B6)+12</f>
        <v>29.777777777777779</v>
      </c>
      <c r="D6" s="7">
        <v>25</v>
      </c>
      <c r="E6" s="8">
        <f>C$2-SUM(D$2:D6)+12</f>
        <v>11</v>
      </c>
      <c r="G6" s="17" t="s">
        <v>26</v>
      </c>
      <c r="K6" s="25">
        <v>5182</v>
      </c>
      <c r="L6" s="25">
        <v>3</v>
      </c>
      <c r="M6" s="30">
        <v>44005</v>
      </c>
      <c r="N6" s="26" t="s">
        <v>11</v>
      </c>
      <c r="O6" s="28"/>
    </row>
    <row r="7" spans="1:15" x14ac:dyDescent="0.25">
      <c r="A7" s="12">
        <v>44009</v>
      </c>
      <c r="B7" s="13">
        <v>6</v>
      </c>
      <c r="C7" s="14">
        <f>C6</f>
        <v>29.777777777777779</v>
      </c>
      <c r="D7" s="13">
        <v>0</v>
      </c>
      <c r="E7" s="15">
        <f>C$2-SUM(D$2:D7)+12</f>
        <v>11</v>
      </c>
      <c r="K7" s="25">
        <v>5183</v>
      </c>
      <c r="L7" s="25">
        <v>5</v>
      </c>
      <c r="M7" s="30">
        <v>44005</v>
      </c>
      <c r="N7" s="26" t="s">
        <v>11</v>
      </c>
      <c r="O7" s="28"/>
    </row>
    <row r="8" spans="1:15" x14ac:dyDescent="0.25">
      <c r="A8" s="12">
        <v>44010</v>
      </c>
      <c r="B8" s="13">
        <v>6</v>
      </c>
      <c r="C8" s="14">
        <f>C7</f>
        <v>29.777777777777779</v>
      </c>
      <c r="D8" s="13">
        <v>0</v>
      </c>
      <c r="E8" s="15">
        <f>C$2-SUM(D$2:D8)+12</f>
        <v>11</v>
      </c>
      <c r="K8" s="25">
        <v>5851</v>
      </c>
      <c r="L8" s="25">
        <v>3</v>
      </c>
      <c r="M8" s="30">
        <v>44015</v>
      </c>
      <c r="N8" s="26" t="s">
        <v>11</v>
      </c>
      <c r="O8" s="28"/>
    </row>
    <row r="9" spans="1:15" x14ac:dyDescent="0.25">
      <c r="A9" s="5">
        <v>44011</v>
      </c>
      <c r="B9" s="6">
        <v>5</v>
      </c>
      <c r="C9" s="10">
        <f t="shared" si="0"/>
        <v>23.822222222222223</v>
      </c>
      <c r="D9" s="7">
        <v>0</v>
      </c>
      <c r="E9" s="21">
        <f>C$2-SUM(D$2:D9)+12</f>
        <v>11</v>
      </c>
      <c r="G9" s="23"/>
      <c r="L9" s="17">
        <f>SUM(L4:L8)</f>
        <v>32</v>
      </c>
      <c r="O9" s="28"/>
    </row>
    <row r="10" spans="1:15" x14ac:dyDescent="0.25">
      <c r="A10" s="5">
        <v>44012</v>
      </c>
      <c r="B10" s="6">
        <v>4</v>
      </c>
      <c r="C10" s="10">
        <f t="shared" si="0"/>
        <v>17.866666666666667</v>
      </c>
      <c r="D10" s="7">
        <v>0</v>
      </c>
      <c r="E10" s="21">
        <f>C$2-SUM(D$2:D10)+12</f>
        <v>11</v>
      </c>
      <c r="K10" s="25">
        <v>5894</v>
      </c>
      <c r="L10" s="25">
        <v>3</v>
      </c>
      <c r="M10" s="30">
        <v>44008</v>
      </c>
      <c r="N10" s="26" t="s">
        <v>11</v>
      </c>
      <c r="O10" s="30">
        <v>44008</v>
      </c>
    </row>
    <row r="11" spans="1:15" x14ac:dyDescent="0.25">
      <c r="A11" s="5">
        <v>44013</v>
      </c>
      <c r="B11" s="6">
        <v>3</v>
      </c>
      <c r="C11" s="10">
        <f t="shared" si="0"/>
        <v>11.911111111111111</v>
      </c>
      <c r="D11" s="7">
        <v>0</v>
      </c>
      <c r="E11" s="21">
        <f>C$2-SUM(D$2:D11)+12</f>
        <v>11</v>
      </c>
      <c r="K11" s="25">
        <v>5895</v>
      </c>
      <c r="L11" s="25">
        <v>3</v>
      </c>
      <c r="M11" s="30">
        <v>44008</v>
      </c>
      <c r="N11" s="26" t="s">
        <v>11</v>
      </c>
      <c r="O11" s="30">
        <v>44008</v>
      </c>
    </row>
    <row r="12" spans="1:15" x14ac:dyDescent="0.25">
      <c r="A12" s="5">
        <v>44014</v>
      </c>
      <c r="B12" s="6">
        <v>2</v>
      </c>
      <c r="C12" s="10">
        <f t="shared" si="0"/>
        <v>5.9555555555555557</v>
      </c>
      <c r="D12" s="7">
        <v>8</v>
      </c>
      <c r="E12" s="21">
        <f>C$2-SUM(D$2:D12)+12</f>
        <v>3</v>
      </c>
      <c r="K12" s="25">
        <v>5896</v>
      </c>
      <c r="L12" s="25">
        <v>3</v>
      </c>
      <c r="M12" s="30">
        <v>44008</v>
      </c>
      <c r="N12" s="26" t="s">
        <v>11</v>
      </c>
      <c r="O12" s="30">
        <v>44008</v>
      </c>
    </row>
    <row r="13" spans="1:15" x14ac:dyDescent="0.25">
      <c r="A13" s="5">
        <v>44015</v>
      </c>
      <c r="B13" s="6">
        <v>1</v>
      </c>
      <c r="C13" s="10">
        <f t="shared" si="0"/>
        <v>0</v>
      </c>
      <c r="D13" s="7">
        <v>3</v>
      </c>
      <c r="E13" s="21">
        <f>C$2-SUM(D$2:D13)+12</f>
        <v>0</v>
      </c>
      <c r="K13" s="25">
        <v>5897</v>
      </c>
      <c r="L13" s="25">
        <v>3</v>
      </c>
      <c r="M13" s="30">
        <v>44008</v>
      </c>
      <c r="N13" s="26" t="s">
        <v>11</v>
      </c>
      <c r="O13" s="30">
        <v>44008</v>
      </c>
    </row>
    <row r="14" spans="1:15" x14ac:dyDescent="0.25">
      <c r="A14" s="2"/>
      <c r="L14" s="17">
        <f>SUM(L9:L13)</f>
        <v>44</v>
      </c>
    </row>
    <row r="15" spans="1:15" x14ac:dyDescent="0.25">
      <c r="A15" s="44" t="s">
        <v>5</v>
      </c>
      <c r="B15" s="44"/>
      <c r="C15" s="3">
        <f>C2/(B2)</f>
        <v>3.2</v>
      </c>
    </row>
    <row r="38" ht="9.75" customHeight="1" x14ac:dyDescent="0.25"/>
  </sheetData>
  <mergeCells count="1"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3E6DC-90F8-4B27-A37D-BD23414B903D}">
  <dimension ref="A1:AMJ38"/>
  <sheetViews>
    <sheetView showGridLines="0" topLeftCell="A13" workbookViewId="0">
      <selection activeCell="G21" sqref="G21"/>
    </sheetView>
  </sheetViews>
  <sheetFormatPr defaultColWidth="8.75" defaultRowHeight="15" x14ac:dyDescent="0.25"/>
  <cols>
    <col min="1" max="1" width="10" style="1" customWidth="1"/>
    <col min="2" max="2" width="5.25" style="1" customWidth="1"/>
    <col min="3" max="3" width="12" style="1" bestFit="1" customWidth="1"/>
    <col min="4" max="4" width="12.25" style="1" bestFit="1" customWidth="1"/>
    <col min="5" max="5" width="15" style="1" bestFit="1" customWidth="1"/>
    <col min="6" max="6" width="3.75" style="1" customWidth="1"/>
    <col min="7" max="7" width="23.375" style="1" customWidth="1"/>
    <col min="8" max="8" width="19" style="1" customWidth="1"/>
    <col min="9" max="9" width="10" style="1" customWidth="1"/>
    <col min="10" max="10" width="12.625" style="1" customWidth="1"/>
    <col min="11" max="11" width="10.875" style="1" customWidth="1"/>
    <col min="12" max="12" width="7.875" style="1" customWidth="1"/>
    <col min="13" max="16" width="10" style="1" customWidth="1"/>
    <col min="17" max="1024" width="8.125" style="1" customWidth="1"/>
  </cols>
  <sheetData>
    <row r="1" spans="1:11" x14ac:dyDescent="0.25">
      <c r="A1" s="4" t="s">
        <v>0</v>
      </c>
      <c r="B1" s="4" t="s">
        <v>1</v>
      </c>
      <c r="C1" s="9" t="s">
        <v>2</v>
      </c>
      <c r="D1" s="4" t="s">
        <v>3</v>
      </c>
      <c r="E1" s="4" t="s">
        <v>4</v>
      </c>
    </row>
    <row r="2" spans="1:11" x14ac:dyDescent="0.25">
      <c r="A2" s="5">
        <v>43962</v>
      </c>
      <c r="B2" s="6">
        <v>9</v>
      </c>
      <c r="C2" s="10">
        <v>32</v>
      </c>
      <c r="D2" s="7">
        <v>0</v>
      </c>
      <c r="E2" s="8">
        <f>C$2-SUM(D$2:D2)</f>
        <v>32</v>
      </c>
      <c r="G2" s="27" t="s">
        <v>17</v>
      </c>
      <c r="H2" s="17" t="s">
        <v>18</v>
      </c>
    </row>
    <row r="3" spans="1:11" x14ac:dyDescent="0.25">
      <c r="A3" s="5">
        <v>43963</v>
      </c>
      <c r="B3" s="6">
        <v>8</v>
      </c>
      <c r="C3" s="10">
        <f t="shared" ref="C3:C13" si="0">C2-(C2/B3)</f>
        <v>28</v>
      </c>
      <c r="D3" s="7">
        <v>0</v>
      </c>
      <c r="E3" s="8">
        <f>C$2-SUM(D$2:D3)</f>
        <v>32</v>
      </c>
      <c r="G3" s="17" t="s">
        <v>19</v>
      </c>
      <c r="K3" s="18" t="s">
        <v>20</v>
      </c>
    </row>
    <row r="4" spans="1:11" x14ac:dyDescent="0.25">
      <c r="A4" s="5">
        <v>43964</v>
      </c>
      <c r="B4" s="6">
        <v>7</v>
      </c>
      <c r="C4" s="10">
        <f t="shared" si="0"/>
        <v>24</v>
      </c>
      <c r="D4" s="7">
        <v>0</v>
      </c>
      <c r="E4" s="8">
        <f>C$2-SUM(D$2:D4)</f>
        <v>32</v>
      </c>
      <c r="G4" s="19" t="s">
        <v>21</v>
      </c>
      <c r="H4" s="33">
        <v>4112</v>
      </c>
      <c r="I4" s="33">
        <v>8</v>
      </c>
      <c r="J4" s="34">
        <v>43965</v>
      </c>
    </row>
    <row r="5" spans="1:11" x14ac:dyDescent="0.25">
      <c r="A5" s="5">
        <v>43965</v>
      </c>
      <c r="B5" s="6">
        <v>6</v>
      </c>
      <c r="C5" s="10">
        <f t="shared" si="0"/>
        <v>20</v>
      </c>
      <c r="D5" s="7">
        <v>16</v>
      </c>
      <c r="E5" s="8">
        <f>C$2-SUM(D$2:D5)</f>
        <v>16</v>
      </c>
      <c r="H5" s="33">
        <v>3939</v>
      </c>
      <c r="I5" s="33">
        <v>8</v>
      </c>
      <c r="J5" s="34">
        <v>43965</v>
      </c>
    </row>
    <row r="6" spans="1:11" x14ac:dyDescent="0.25">
      <c r="A6" s="5">
        <v>43966</v>
      </c>
      <c r="B6" s="6">
        <v>6</v>
      </c>
      <c r="C6" s="10">
        <f t="shared" si="0"/>
        <v>16.666666666666668</v>
      </c>
      <c r="D6" s="7">
        <v>0</v>
      </c>
      <c r="E6" s="8">
        <f>C$2-SUM(D$2:D6)</f>
        <v>16</v>
      </c>
      <c r="H6" s="33">
        <v>3936</v>
      </c>
      <c r="I6" s="33">
        <v>8</v>
      </c>
      <c r="J6" s="34">
        <v>43970</v>
      </c>
    </row>
    <row r="7" spans="1:11" x14ac:dyDescent="0.25">
      <c r="A7" s="12">
        <v>43967</v>
      </c>
      <c r="B7" s="13">
        <v>6</v>
      </c>
      <c r="C7" s="14">
        <f>C6</f>
        <v>16.666666666666668</v>
      </c>
      <c r="D7" s="13">
        <v>0</v>
      </c>
      <c r="E7" s="15">
        <f>C$2-SUM(D$2:D7)</f>
        <v>16</v>
      </c>
      <c r="H7" s="33">
        <v>3940</v>
      </c>
      <c r="I7" s="33">
        <v>8</v>
      </c>
      <c r="J7" s="34">
        <v>43969</v>
      </c>
    </row>
    <row r="8" spans="1:11" x14ac:dyDescent="0.25">
      <c r="A8" s="12">
        <v>43968</v>
      </c>
      <c r="B8" s="13">
        <v>6</v>
      </c>
      <c r="C8" s="14">
        <f>C7</f>
        <v>16.666666666666668</v>
      </c>
      <c r="D8" s="13">
        <v>0</v>
      </c>
      <c r="E8" s="15">
        <f>C$2-SUM(D$2:D8)</f>
        <v>16</v>
      </c>
      <c r="H8" s="18"/>
      <c r="I8" s="16">
        <f>SUM(I4:I7)</f>
        <v>32</v>
      </c>
    </row>
    <row r="9" spans="1:11" x14ac:dyDescent="0.25">
      <c r="A9" s="5">
        <v>43969</v>
      </c>
      <c r="B9" s="6">
        <v>5</v>
      </c>
      <c r="C9" s="11">
        <f>C8-(C8/B9)+20</f>
        <v>33.333333333333336</v>
      </c>
      <c r="D9" s="7">
        <v>8</v>
      </c>
      <c r="E9" s="21">
        <f>C$2-SUM(D$2:D9)+20</f>
        <v>28</v>
      </c>
      <c r="G9" s="23" t="s">
        <v>22</v>
      </c>
      <c r="H9" s="35">
        <v>4786</v>
      </c>
      <c r="I9" s="35">
        <v>3</v>
      </c>
      <c r="J9" s="34">
        <v>43971</v>
      </c>
    </row>
    <row r="10" spans="1:11" x14ac:dyDescent="0.25">
      <c r="A10" s="5">
        <v>43970</v>
      </c>
      <c r="B10" s="6">
        <v>4</v>
      </c>
      <c r="C10" s="10">
        <f t="shared" si="0"/>
        <v>25</v>
      </c>
      <c r="D10" s="7">
        <v>8</v>
      </c>
      <c r="E10" s="21">
        <f>C$2-SUM(D$2:D10)+20</f>
        <v>20</v>
      </c>
      <c r="H10" s="35">
        <v>4787</v>
      </c>
      <c r="I10" s="35">
        <v>3</v>
      </c>
      <c r="J10" s="34">
        <v>43972</v>
      </c>
      <c r="K10" s="34">
        <v>43976</v>
      </c>
    </row>
    <row r="11" spans="1:11" x14ac:dyDescent="0.25">
      <c r="A11" s="5">
        <v>43971</v>
      </c>
      <c r="B11" s="6">
        <v>3</v>
      </c>
      <c r="C11" s="10">
        <f t="shared" si="0"/>
        <v>16.666666666666664</v>
      </c>
      <c r="D11" s="7">
        <v>3</v>
      </c>
      <c r="E11" s="21">
        <f>C$2-SUM(D$2:D11)+20</f>
        <v>17</v>
      </c>
      <c r="H11" s="35">
        <v>4788</v>
      </c>
      <c r="I11" s="35">
        <v>3</v>
      </c>
      <c r="J11" s="34">
        <v>43973</v>
      </c>
      <c r="K11" s="34">
        <v>43976</v>
      </c>
    </row>
    <row r="12" spans="1:11" x14ac:dyDescent="0.25">
      <c r="A12" s="5">
        <v>43972</v>
      </c>
      <c r="B12" s="6">
        <v>2</v>
      </c>
      <c r="C12" s="10">
        <f t="shared" si="0"/>
        <v>8.3333333333333321</v>
      </c>
      <c r="D12" s="7">
        <v>3</v>
      </c>
      <c r="E12" s="21">
        <f>C$2-SUM(D$2:D12)+20</f>
        <v>14</v>
      </c>
      <c r="H12" s="35">
        <v>4789</v>
      </c>
      <c r="I12" s="35">
        <v>3</v>
      </c>
      <c r="J12" s="34">
        <v>43973</v>
      </c>
      <c r="K12" s="34">
        <v>43976</v>
      </c>
    </row>
    <row r="13" spans="1:11" x14ac:dyDescent="0.25">
      <c r="A13" s="5">
        <v>43973</v>
      </c>
      <c r="B13" s="6">
        <v>1</v>
      </c>
      <c r="C13" s="10">
        <f t="shared" si="0"/>
        <v>0</v>
      </c>
      <c r="D13" s="7">
        <v>14</v>
      </c>
      <c r="E13" s="21">
        <f>C$2-SUM(D$2:D13)+20</f>
        <v>0</v>
      </c>
      <c r="G13" s="1" t="s">
        <v>23</v>
      </c>
      <c r="H13" s="35">
        <v>4790</v>
      </c>
      <c r="I13" s="35">
        <v>8</v>
      </c>
      <c r="J13" s="36" t="s">
        <v>24</v>
      </c>
    </row>
    <row r="14" spans="1:11" x14ac:dyDescent="0.25">
      <c r="A14" s="2"/>
      <c r="I14" s="16">
        <f>SUM(I9:I13)</f>
        <v>20</v>
      </c>
    </row>
    <row r="15" spans="1:11" x14ac:dyDescent="0.25">
      <c r="A15" s="44" t="s">
        <v>5</v>
      </c>
      <c r="B15" s="44"/>
      <c r="C15" s="3">
        <f>C2/(B2)</f>
        <v>3.5555555555555554</v>
      </c>
    </row>
    <row r="16" spans="1:11" x14ac:dyDescent="0.25">
      <c r="H16" s="37" t="s">
        <v>25</v>
      </c>
      <c r="I16" s="16">
        <v>52</v>
      </c>
    </row>
    <row r="38" ht="9.75" customHeight="1" x14ac:dyDescent="0.25"/>
  </sheetData>
  <mergeCells count="1">
    <mergeCell ref="A15:B1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Spr15</vt:lpstr>
      <vt:lpstr>Spr9</vt:lpstr>
      <vt:lpstr>Spr5</vt:lpstr>
      <vt:lpstr>Spr2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Andrade</dc:creator>
  <cp:lastModifiedBy>Sergio Kazumi Takeda</cp:lastModifiedBy>
  <cp:lastPrinted>2014-08-08T12:46:51Z</cp:lastPrinted>
  <dcterms:created xsi:type="dcterms:W3CDTF">2012-06-25T18:11:32Z</dcterms:created>
  <dcterms:modified xsi:type="dcterms:W3CDTF">2020-11-25T15:29:56Z</dcterms:modified>
</cp:coreProperties>
</file>